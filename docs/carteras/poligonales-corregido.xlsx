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1880" tabRatio="600" firstSheet="0" activeTab="2" autoFilterDateGrouping="1"/>
  </bookViews>
  <sheets>
    <sheet xmlns:r="http://schemas.openxmlformats.org/officeDocument/2006/relationships" name="CRANDALL" sheetId="1" state="visible" r:id="rId1"/>
    <sheet xmlns:r="http://schemas.openxmlformats.org/officeDocument/2006/relationships" name="TRANSITO" sheetId="2" state="visible" r:id="rId2"/>
    <sheet xmlns:r="http://schemas.openxmlformats.org/officeDocument/2006/relationships" name="BRUJUL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rgb="FFFF0000"/>
      <sz val="10"/>
    </font>
    <font>
      <name val="Calibri"/>
      <family val="2"/>
      <color rgb="FF00B050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theme="1"/>
      <sz val="11"/>
    </font>
    <font>
      <name val="Arial"/>
      <family val="2"/>
      <b val="1"/>
      <sz val="9"/>
    </font>
  </fonts>
  <fills count="2">
    <fill>
      <patternFill/>
    </fill>
    <fill>
      <patternFill patternType="gray125"/>
    </fill>
  </fills>
  <borders count="6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4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" fontId="0" fillId="0" borderId="2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4" fontId="0" fillId="0" borderId="28" applyAlignment="1" pivotButton="0" quotePrefix="0" xfId="0">
      <alignment horizontal="center" vertical="center"/>
    </xf>
    <xf numFmtId="164" fontId="0" fillId="0" borderId="31" applyAlignment="1" pivotButton="0" quotePrefix="0" xfId="0">
      <alignment horizontal="center" vertical="center"/>
    </xf>
    <xf numFmtId="164" fontId="0" fillId="0" borderId="3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27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2" fillId="0" borderId="49" applyAlignment="1" pivotButton="0" quotePrefix="0" xfId="0">
      <alignment horizontal="center"/>
    </xf>
    <xf numFmtId="164" fontId="0" fillId="0" borderId="49" applyAlignment="1" pivotButton="0" quotePrefix="0" xfId="0">
      <alignment horizontal="center"/>
    </xf>
    <xf numFmtId="164" fontId="0" fillId="0" borderId="45" applyAlignment="1" pivotButton="0" quotePrefix="0" xfId="0">
      <alignment horizontal="center"/>
    </xf>
    <xf numFmtId="164" fontId="0" fillId="0" borderId="44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164" fontId="7" fillId="0" borderId="9" applyAlignment="1" pivotButton="0" quotePrefix="0" xfId="0">
      <alignment horizontal="center" vertical="center"/>
    </xf>
    <xf numFmtId="164" fontId="7" fillId="0" borderId="1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164" fontId="7" fillId="0" borderId="28" applyAlignment="1" pivotButton="0" quotePrefix="0" xfId="0">
      <alignment horizontal="center" vertical="center"/>
    </xf>
    <xf numFmtId="164" fontId="7" fillId="0" borderId="2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165" fontId="7" fillId="0" borderId="28" applyAlignment="1" pivotButton="0" quotePrefix="0" xfId="0">
      <alignment horizontal="center" vertical="center"/>
    </xf>
    <xf numFmtId="165" fontId="7" fillId="0" borderId="3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/>
    </xf>
    <xf numFmtId="0" fontId="8" fillId="0" borderId="31" applyAlignment="1" pivotButton="0" quotePrefix="0" xfId="0">
      <alignment horizontal="center"/>
    </xf>
    <xf numFmtId="0" fontId="9" fillId="0" borderId="2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4" fontId="7" fillId="0" borderId="15" applyAlignment="1" pivotButton="0" quotePrefix="0" xfId="0">
      <alignment horizontal="center" vertical="center"/>
    </xf>
    <xf numFmtId="164" fontId="7" fillId="0" borderId="1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33" applyAlignment="1" pivotButton="0" quotePrefix="0" xfId="0">
      <alignment horizontal="center"/>
    </xf>
    <xf numFmtId="0" fontId="6" fillId="0" borderId="44" applyAlignment="1" pivotButton="0" quotePrefix="0" xfId="0">
      <alignment horizontal="center" vertical="center"/>
    </xf>
    <xf numFmtId="0" fontId="6" fillId="0" borderId="52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10" fillId="0" borderId="44" applyAlignment="1" pivotButton="0" quotePrefix="0" xfId="0">
      <alignment horizontal="center" vertical="center"/>
    </xf>
    <xf numFmtId="0" fontId="10" fillId="0" borderId="4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166" fontId="0" fillId="0" borderId="30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39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/>
    </xf>
    <xf numFmtId="0" fontId="1" fillId="0" borderId="4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0" fillId="0" borderId="0" pivotButton="0" quotePrefix="0" xfId="0"/>
    <xf numFmtId="0" fontId="1" fillId="0" borderId="44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59" pivotButton="0" quotePrefix="0" xfId="0"/>
    <xf numFmtId="0" fontId="0" fillId="0" borderId="54" pivotButton="0" quotePrefix="0" xfId="0"/>
    <xf numFmtId="0" fontId="0" fillId="0" borderId="56" pivotButton="0" quotePrefix="0" xfId="0"/>
    <xf numFmtId="0" fontId="0" fillId="0" borderId="58" pivotButton="0" quotePrefix="0" xfId="0"/>
    <xf numFmtId="0" fontId="0" fillId="0" borderId="57" pivotButton="0" quotePrefix="0" xfId="0"/>
    <xf numFmtId="0" fontId="0" fillId="0" borderId="45" pivotButton="0" quotePrefix="0" xfId="0"/>
    <xf numFmtId="0" fontId="6" fillId="0" borderId="12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3" pivotButton="0" quotePrefix="0" xfId="0"/>
    <xf numFmtId="0" fontId="0" fillId="0" borderId="32" pivotButton="0" quotePrefix="0" xfId="0"/>
    <xf numFmtId="0" fontId="6" fillId="0" borderId="22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8" fillId="0" borderId="27" applyAlignment="1" pivotButton="0" quotePrefix="0" xfId="0">
      <alignment horizontal="center"/>
    </xf>
    <xf numFmtId="0" fontId="6" fillId="0" borderId="49" applyAlignment="1" pivotButton="0" quotePrefix="0" xfId="0">
      <alignment horizontal="center" vertical="center"/>
    </xf>
    <xf numFmtId="0" fontId="0" fillId="0" borderId="52" pivotButton="0" quotePrefix="0" xfId="0"/>
    <xf numFmtId="0" fontId="10" fillId="0" borderId="49" applyAlignment="1" pivotButton="0" quotePrefix="0" xfId="0">
      <alignment horizontal="center" vertical="center"/>
    </xf>
    <xf numFmtId="0" fontId="0" fillId="0" borderId="21" pivotButton="0" quotePrefix="0" xfId="0"/>
    <xf numFmtId="0" fontId="1" fillId="0" borderId="49" applyAlignment="1" pivotButton="0" quotePrefix="0" xfId="0">
      <alignment horizontal="center"/>
    </xf>
    <xf numFmtId="0" fontId="0" fillId="0" borderId="66" pivotButton="0" quotePrefix="0" xfId="0"/>
    <xf numFmtId="0" fontId="1" fillId="0" borderId="4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M1" zoomScaleNormal="100" workbookViewId="0">
      <selection activeCell="T4" sqref="T4:T9"/>
    </sheetView>
  </sheetViews>
  <sheetFormatPr baseColWidth="10" defaultRowHeight="15"/>
  <cols>
    <col width="12.85546875" customWidth="1" style="161" min="24" max="24"/>
  </cols>
  <sheetData>
    <row r="1">
      <c r="A1" s="162" t="inlineStr">
        <is>
          <t>DELTA</t>
        </is>
      </c>
      <c r="B1" s="152" t="inlineStr">
        <is>
          <t>PUNTO</t>
        </is>
      </c>
      <c r="C1" s="27" t="inlineStr">
        <is>
          <t>ANG. HOR</t>
        </is>
      </c>
      <c r="D1" s="163" t="n"/>
      <c r="E1" s="163" t="n"/>
      <c r="F1" s="164" t="n"/>
      <c r="G1" s="31" t="inlineStr">
        <is>
          <t>CORR</t>
        </is>
      </c>
      <c r="H1" s="163" t="n"/>
      <c r="I1" s="163" t="n"/>
      <c r="J1" s="165" t="n"/>
      <c r="K1" s="27" t="inlineStr">
        <is>
          <t>ANG. HOR. CORREGIDO</t>
        </is>
      </c>
      <c r="L1" s="163" t="n"/>
      <c r="M1" s="163" t="n"/>
      <c r="N1" s="164" t="n"/>
      <c r="O1" s="10" t="inlineStr">
        <is>
          <t>AZIMUT</t>
        </is>
      </c>
      <c r="P1" s="163" t="n"/>
      <c r="Q1" s="163" t="n"/>
      <c r="R1" s="163" t="n"/>
      <c r="S1" s="164" t="n"/>
      <c r="T1" s="27" t="inlineStr">
        <is>
          <t>DIST</t>
        </is>
      </c>
      <c r="U1" s="31" t="inlineStr">
        <is>
          <t>PROYECCIONES</t>
        </is>
      </c>
      <c r="V1" s="165" t="n"/>
      <c r="W1" s="154" t="inlineStr">
        <is>
          <t>L´2</t>
        </is>
      </c>
      <c r="X1" s="155" t="inlineStr">
        <is>
          <t>D´2</t>
        </is>
      </c>
      <c r="Y1" s="154" t="inlineStr">
        <is>
          <t>LD</t>
        </is>
      </c>
      <c r="Z1" s="155" t="inlineStr">
        <is>
          <t>LD´2</t>
        </is>
      </c>
      <c r="AA1" s="162" t="inlineStr">
        <is>
          <t>A</t>
        </is>
      </c>
      <c r="AB1" s="162" t="inlineStr">
        <is>
          <t>B</t>
        </is>
      </c>
      <c r="AC1" s="162" t="inlineStr">
        <is>
          <t>CPN</t>
        </is>
      </c>
      <c r="AD1" s="162" t="inlineStr">
        <is>
          <t>CPE</t>
        </is>
      </c>
      <c r="AE1" s="162" t="inlineStr">
        <is>
          <t>PCN</t>
        </is>
      </c>
      <c r="AF1" s="162" t="inlineStr">
        <is>
          <t>PCE</t>
        </is>
      </c>
    </row>
    <row r="2" ht="15.75" customHeight="1" s="161" thickBot="1">
      <c r="A2" s="166" t="n"/>
      <c r="B2" s="167" t="n"/>
      <c r="C2" s="17" t="inlineStr">
        <is>
          <t>G</t>
        </is>
      </c>
      <c r="D2" s="20" t="inlineStr">
        <is>
          <t>M</t>
        </is>
      </c>
      <c r="E2" s="20" t="inlineStr">
        <is>
          <t>S</t>
        </is>
      </c>
      <c r="F2" s="21" t="inlineStr">
        <is>
          <t xml:space="preserve">DEC </t>
        </is>
      </c>
      <c r="G2" s="17" t="inlineStr">
        <is>
          <t>DEC</t>
        </is>
      </c>
      <c r="H2" s="20" t="inlineStr">
        <is>
          <t>G</t>
        </is>
      </c>
      <c r="I2" s="20" t="inlineStr">
        <is>
          <t>M</t>
        </is>
      </c>
      <c r="J2" s="21" t="inlineStr">
        <is>
          <t>S</t>
        </is>
      </c>
      <c r="K2" s="135" t="inlineStr">
        <is>
          <t>G</t>
        </is>
      </c>
      <c r="L2" s="136" t="inlineStr">
        <is>
          <t>M</t>
        </is>
      </c>
      <c r="M2" s="136" t="inlineStr">
        <is>
          <t>S</t>
        </is>
      </c>
      <c r="N2" s="24" t="inlineStr">
        <is>
          <t>DEC</t>
        </is>
      </c>
      <c r="O2" s="137" t="inlineStr">
        <is>
          <t>G</t>
        </is>
      </c>
      <c r="P2" s="20" t="inlineStr">
        <is>
          <t>M</t>
        </is>
      </c>
      <c r="Q2" s="20" t="inlineStr">
        <is>
          <t>S</t>
        </is>
      </c>
      <c r="R2" s="21" t="inlineStr">
        <is>
          <t>DEC</t>
        </is>
      </c>
      <c r="S2" s="136" t="inlineStr">
        <is>
          <t>DEC</t>
        </is>
      </c>
      <c r="T2" s="168" t="n"/>
      <c r="U2" s="17" t="inlineStr">
        <is>
          <t>N-S</t>
        </is>
      </c>
      <c r="V2" s="21" t="inlineStr">
        <is>
          <t>E-W</t>
        </is>
      </c>
      <c r="W2" s="169" t="n"/>
      <c r="X2" s="170" t="n"/>
      <c r="Y2" s="169" t="n"/>
      <c r="Z2" s="170" t="n"/>
      <c r="AA2" s="166" t="n"/>
      <c r="AB2" s="166" t="n"/>
      <c r="AC2" s="166" t="n"/>
      <c r="AD2" s="166" t="n"/>
      <c r="AE2" s="166" t="n"/>
      <c r="AF2" s="166" t="n"/>
    </row>
    <row r="3" ht="15.75" customHeight="1" s="161" thickBot="1">
      <c r="A3" s="27" t="n"/>
      <c r="B3" s="27" t="inlineStr">
        <is>
          <t>GR-05</t>
        </is>
      </c>
      <c r="C3" s="96" t="n">
        <v>0</v>
      </c>
      <c r="D3" s="98" t="n">
        <v>0</v>
      </c>
      <c r="E3" s="98" t="n">
        <v>0</v>
      </c>
      <c r="F3" s="30" t="n"/>
      <c r="G3" s="31" t="n"/>
      <c r="H3" s="32" t="n"/>
      <c r="I3" s="32" t="n"/>
      <c r="J3" s="33" t="n"/>
      <c r="K3" s="34" t="n"/>
      <c r="L3" s="34" t="n"/>
      <c r="M3" s="34" t="n"/>
      <c r="N3" s="35" t="n"/>
      <c r="O3" s="3" t="n">
        <v>330</v>
      </c>
      <c r="P3" s="4" t="n">
        <v>35</v>
      </c>
      <c r="Q3" s="5" t="n">
        <v>57.23</v>
      </c>
      <c r="R3" s="36">
        <f>O3+(P3/60)+(Q3/3600)</f>
        <v/>
      </c>
      <c r="S3" s="37" t="n"/>
      <c r="T3" s="27" t="n"/>
      <c r="U3" s="31" t="n"/>
      <c r="V3" s="33" t="n"/>
      <c r="W3" s="31" t="n"/>
      <c r="X3" s="55" t="n"/>
      <c r="Y3" s="31" t="n"/>
      <c r="Z3" s="33" t="n"/>
      <c r="AA3" s="27" t="n"/>
      <c r="AG3" t="n">
        <v>100135.666</v>
      </c>
      <c r="AH3" t="n">
        <v>101440.525</v>
      </c>
      <c r="AJ3">
        <f>CONCATENATE(AH3,",",AG3)</f>
        <v/>
      </c>
    </row>
    <row r="4">
      <c r="A4" s="27" t="inlineStr">
        <is>
          <t>CN-1</t>
        </is>
      </c>
      <c r="B4" s="38" t="inlineStr">
        <is>
          <t>D1</t>
        </is>
      </c>
      <c r="C4" s="39" t="n">
        <v>211</v>
      </c>
      <c r="D4" s="40" t="n">
        <v>15</v>
      </c>
      <c r="E4" s="40" t="n">
        <v>7</v>
      </c>
      <c r="F4" s="41">
        <f>C4+(D4/60)+(E4/3600)</f>
        <v/>
      </c>
      <c r="G4" s="42">
        <f>$F$24</f>
        <v/>
      </c>
      <c r="H4" s="43">
        <f>INT(G4)</f>
        <v/>
      </c>
      <c r="I4" s="43">
        <f>INT((G4-H4)*60)</f>
        <v/>
      </c>
      <c r="J4" s="44">
        <f>(((G4-H4)*60-I4)*60)</f>
        <v/>
      </c>
      <c r="K4" s="131">
        <f>INT(N4)</f>
        <v/>
      </c>
      <c r="L4" s="131">
        <f>INT((N4-K4)*60)</f>
        <v/>
      </c>
      <c r="M4" s="131">
        <f>((N4-K4)*60-L4)*60</f>
        <v/>
      </c>
      <c r="N4" s="46">
        <f>F4-G4</f>
        <v/>
      </c>
      <c r="O4" s="131">
        <f>INT(R4)</f>
        <v/>
      </c>
      <c r="P4" s="43">
        <f>INT((R4-O4)*60)</f>
        <v/>
      </c>
      <c r="Q4" s="47">
        <f>((R4-O4)*60-P4)*60</f>
        <v/>
      </c>
      <c r="R4" s="44">
        <f>MOD(S4,360)</f>
        <v/>
      </c>
      <c r="S4" s="37">
        <f>R3+N4</f>
        <v/>
      </c>
      <c r="T4" s="2" t="n">
        <v>20.744</v>
      </c>
      <c r="U4" s="56">
        <f>(COS(RADIANS(R4))*T4)</f>
        <v/>
      </c>
      <c r="V4" s="57">
        <f>(SIN(RADIANS(R4))*T4)</f>
        <v/>
      </c>
      <c r="W4" s="56">
        <f>((U4*U4)/T4)/100</f>
        <v/>
      </c>
      <c r="X4" s="144">
        <f>((V4*V4)/T4)/100</f>
        <v/>
      </c>
      <c r="Y4" s="42">
        <f>((U4*V4)/T4)/100</f>
        <v/>
      </c>
      <c r="Z4" s="44">
        <f>Y4*Y4</f>
        <v/>
      </c>
      <c r="AA4" s="38">
        <f>((V17*Y17)-(U17*X17))/((W17*X17)-(Y17^2))</f>
        <v/>
      </c>
      <c r="AB4" s="147">
        <f>((U17*Y17)-(V17*W17))/((W17*X17)-(Y17^2))</f>
        <v/>
      </c>
      <c r="AC4">
        <f>(W4*$AA$4)+(Y4*$AB$4)</f>
        <v/>
      </c>
      <c r="AD4">
        <f>((X4*$AB$4)+(Y4*$AA$4))</f>
        <v/>
      </c>
      <c r="AE4" s="148">
        <f>U4+AC4</f>
        <v/>
      </c>
      <c r="AF4" s="148">
        <f>V4+AD4</f>
        <v/>
      </c>
      <c r="AG4" s="148">
        <f>AG3+AE4</f>
        <v/>
      </c>
      <c r="AH4" s="148">
        <f>AH3+AF4</f>
        <v/>
      </c>
      <c r="AJ4">
        <f>CONCATENATE(AH4,",",AG4)</f>
        <v/>
      </c>
    </row>
    <row r="5">
      <c r="A5" s="38" t="inlineStr">
        <is>
          <t>D1</t>
        </is>
      </c>
      <c r="B5" s="38" t="inlineStr">
        <is>
          <t>D2</t>
        </is>
      </c>
      <c r="C5" s="39" t="n">
        <v>124</v>
      </c>
      <c r="D5" s="40" t="n">
        <v>29</v>
      </c>
      <c r="E5" s="40" t="n">
        <v>42</v>
      </c>
      <c r="F5" s="41">
        <f>C5+(D5/60)+(E5/3600)</f>
        <v/>
      </c>
      <c r="G5" s="42">
        <f>$F$24</f>
        <v/>
      </c>
      <c r="H5" s="43">
        <f>INT(G5)</f>
        <v/>
      </c>
      <c r="I5" s="43">
        <f>INT((G5-H5)*60)</f>
        <v/>
      </c>
      <c r="J5" s="44">
        <f>(((G5-H5)*60-I5)*60)</f>
        <v/>
      </c>
      <c r="K5" s="131">
        <f>INT(N5)</f>
        <v/>
      </c>
      <c r="L5" s="131">
        <f>INT((N5-K5)*60)</f>
        <v/>
      </c>
      <c r="M5" s="131">
        <f>((N5-K5)*60-L5)*60</f>
        <v/>
      </c>
      <c r="N5" s="46">
        <f>F5-G5</f>
        <v/>
      </c>
      <c r="O5" s="131">
        <f>INT(R5)</f>
        <v/>
      </c>
      <c r="P5" s="43">
        <f>INT((R5-O5)*60)</f>
        <v/>
      </c>
      <c r="Q5" s="47">
        <f>((R5-O5)*60-P5)*60</f>
        <v/>
      </c>
      <c r="R5" s="44">
        <f>MOD(S5,360)</f>
        <v/>
      </c>
      <c r="S5" s="37">
        <f>IF(R4&gt;180,R4-180+N5,R4+180+N5)</f>
        <v/>
      </c>
      <c r="T5" s="2" t="n">
        <v>11.606</v>
      </c>
      <c r="U5" s="56">
        <f>(COS(RADIANS(R5))*T5)</f>
        <v/>
      </c>
      <c r="V5" s="57">
        <f>(SIN(RADIANS(R5))*T5)</f>
        <v/>
      </c>
      <c r="W5" s="56">
        <f>((U5*U5)/T5)/100</f>
        <v/>
      </c>
      <c r="X5" s="144">
        <f>((V5*V5)/T5)/100</f>
        <v/>
      </c>
      <c r="Y5" s="42">
        <f>((U5*V5)/T5)/100</f>
        <v/>
      </c>
      <c r="Z5" s="44">
        <f>Y5*Y5</f>
        <v/>
      </c>
      <c r="AA5" s="171" t="n"/>
      <c r="AB5" s="172" t="n"/>
      <c r="AC5">
        <f>(W5*$AA$4)+(Y5*$AB$4)</f>
        <v/>
      </c>
      <c r="AD5">
        <f>((X5*$AB$4)+(Y5*$AA$4))</f>
        <v/>
      </c>
      <c r="AE5" s="148">
        <f>U5+AC5</f>
        <v/>
      </c>
      <c r="AF5" s="148">
        <f>V5+AD5</f>
        <v/>
      </c>
      <c r="AG5" s="148">
        <f>AG4+AE5</f>
        <v/>
      </c>
      <c r="AH5" s="148">
        <f>AH4+AF5</f>
        <v/>
      </c>
      <c r="AJ5">
        <f>CONCATENATE(AH5,",",AG5)</f>
        <v/>
      </c>
    </row>
    <row r="6">
      <c r="A6" s="38" t="inlineStr">
        <is>
          <t>D2</t>
        </is>
      </c>
      <c r="B6" s="38" t="inlineStr">
        <is>
          <t>D3</t>
        </is>
      </c>
      <c r="C6" s="39" t="n">
        <v>148</v>
      </c>
      <c r="D6" s="40" t="n">
        <v>41</v>
      </c>
      <c r="E6" s="40" t="n">
        <v>41</v>
      </c>
      <c r="F6" s="41">
        <f>C6+(D6/60)+(E6/3600)</f>
        <v/>
      </c>
      <c r="G6" s="42">
        <f>$F$24</f>
        <v/>
      </c>
      <c r="H6" s="43">
        <f>INT(G6)</f>
        <v/>
      </c>
      <c r="I6" s="43">
        <f>INT((G6-H6)*60)</f>
        <v/>
      </c>
      <c r="J6" s="44">
        <f>(((G6-H6)*60-I6)*60)</f>
        <v/>
      </c>
      <c r="K6" s="131">
        <f>INT(N6)</f>
        <v/>
      </c>
      <c r="L6" s="131">
        <f>INT((N6-K6)*60)</f>
        <v/>
      </c>
      <c r="M6" s="131">
        <f>((N6-K6)*60-L6)*60</f>
        <v/>
      </c>
      <c r="N6" s="46">
        <f>F6-G6</f>
        <v/>
      </c>
      <c r="O6" s="131">
        <f>INT(R6)</f>
        <v/>
      </c>
      <c r="P6" s="43">
        <f>INT((R6-O6)*60)</f>
        <v/>
      </c>
      <c r="Q6" s="47">
        <f>((R6-O6)*60-P6)*60</f>
        <v/>
      </c>
      <c r="R6" s="44">
        <f>MOD(S6,360)</f>
        <v/>
      </c>
      <c r="S6" s="37">
        <f>IF(R5&gt;180,R5-180+N6,R5+180+N6)</f>
        <v/>
      </c>
      <c r="T6" s="2" t="n">
        <v>12.835</v>
      </c>
      <c r="U6" s="56">
        <f>(COS(RADIANS(R6))*T6)</f>
        <v/>
      </c>
      <c r="V6" s="57">
        <f>(SIN(RADIANS(R6))*T6)</f>
        <v/>
      </c>
      <c r="W6" s="56">
        <f>((U6*U6)/T6)/100</f>
        <v/>
      </c>
      <c r="X6" s="144">
        <f>((V6*V6)/T6)/100</f>
        <v/>
      </c>
      <c r="Y6" s="42">
        <f>((U6*V6)/T6)/100</f>
        <v/>
      </c>
      <c r="Z6" s="44">
        <f>Y6*Y6</f>
        <v/>
      </c>
      <c r="AA6" s="171" t="n"/>
      <c r="AB6" s="172" t="n"/>
      <c r="AC6">
        <f>(W6*$AA$4)+(Y6*$AB$4)</f>
        <v/>
      </c>
      <c r="AD6">
        <f>((X6*$AB$4)+(Y6*$AA$4))</f>
        <v/>
      </c>
      <c r="AE6" s="148">
        <f>U6+AC6</f>
        <v/>
      </c>
      <c r="AF6" s="148">
        <f>V6+AD6</f>
        <v/>
      </c>
      <c r="AG6" s="148">
        <f>AG5+AE6</f>
        <v/>
      </c>
      <c r="AH6" s="148">
        <f>AH5+AF6</f>
        <v/>
      </c>
      <c r="AJ6">
        <f>CONCATENATE(AH6,",",AG6)</f>
        <v/>
      </c>
    </row>
    <row r="7">
      <c r="A7" s="38" t="inlineStr">
        <is>
          <t>D3</t>
        </is>
      </c>
      <c r="B7" s="38" t="inlineStr">
        <is>
          <t>D4</t>
        </is>
      </c>
      <c r="C7" s="39" t="n">
        <v>91</v>
      </c>
      <c r="D7" s="40" t="n">
        <v>1</v>
      </c>
      <c r="E7" s="40" t="n">
        <v>1</v>
      </c>
      <c r="F7" s="41">
        <f>C7+(D7/60)+(E7/3600)</f>
        <v/>
      </c>
      <c r="G7" s="42">
        <f>$F$24</f>
        <v/>
      </c>
      <c r="H7" s="43">
        <f>INT(G7)</f>
        <v/>
      </c>
      <c r="I7" s="43">
        <f>INT((G7-H7)*60)</f>
        <v/>
      </c>
      <c r="J7" s="44">
        <f>(((G7-H7)*60-I7)*60)</f>
        <v/>
      </c>
      <c r="K7" s="131">
        <f>INT(N7)</f>
        <v/>
      </c>
      <c r="L7" s="131">
        <f>INT((N7-K7)*60)</f>
        <v/>
      </c>
      <c r="M7" s="131">
        <f>((N7-K7)*60-L7)*60</f>
        <v/>
      </c>
      <c r="N7" s="46">
        <f>F7-G7</f>
        <v/>
      </c>
      <c r="O7" s="131">
        <f>INT(R7)</f>
        <v/>
      </c>
      <c r="P7" s="43">
        <f>INT((R7-O7)*60)</f>
        <v/>
      </c>
      <c r="Q7" s="47">
        <f>((R7-O7)*60-P7)*60</f>
        <v/>
      </c>
      <c r="R7" s="44">
        <f>MOD(S7,360)</f>
        <v/>
      </c>
      <c r="S7" s="37">
        <f>IF(R6&gt;180,R6-180+N7,R6+180+N7)</f>
        <v/>
      </c>
      <c r="T7" s="2" t="n">
        <v>36.985</v>
      </c>
      <c r="U7" s="56">
        <f>(COS(RADIANS(R7))*T7)</f>
        <v/>
      </c>
      <c r="V7" s="57">
        <f>(SIN(RADIANS(R7))*T7)</f>
        <v/>
      </c>
      <c r="W7" s="56">
        <f>((U7*U7)/T7)/100</f>
        <v/>
      </c>
      <c r="X7" s="144">
        <f>((V7*V7)/T7)/100</f>
        <v/>
      </c>
      <c r="Y7" s="42">
        <f>((U7*V7)/T7)/100</f>
        <v/>
      </c>
      <c r="Z7" s="44">
        <f>Y7*Y7</f>
        <v/>
      </c>
      <c r="AA7" s="171" t="n"/>
      <c r="AB7" s="172" t="n"/>
      <c r="AC7">
        <f>(W7*$AA$4)+(Y7*$AB$4)</f>
        <v/>
      </c>
      <c r="AD7">
        <f>((X7*$AB$4)+(Y7*$AA$4))</f>
        <v/>
      </c>
      <c r="AE7" s="148">
        <f>U7+AC7</f>
        <v/>
      </c>
      <c r="AF7" s="148">
        <f>V7+AD7</f>
        <v/>
      </c>
      <c r="AG7" s="148">
        <f>AG6+AE7</f>
        <v/>
      </c>
      <c r="AH7" s="148">
        <f>AH6+AF7</f>
        <v/>
      </c>
      <c r="AJ7">
        <f>CONCATENATE(AH7,",",AG7)</f>
        <v/>
      </c>
    </row>
    <row r="8">
      <c r="A8" s="38" t="inlineStr">
        <is>
          <t>D4</t>
        </is>
      </c>
      <c r="B8" s="38" t="inlineStr">
        <is>
          <t>D5</t>
        </is>
      </c>
      <c r="C8" s="48" t="n">
        <v>100</v>
      </c>
      <c r="D8" s="49" t="n">
        <v>27</v>
      </c>
      <c r="E8" s="49" t="n">
        <v>43</v>
      </c>
      <c r="F8" s="41">
        <f>C8+(D8/60)+(E8/3600)</f>
        <v/>
      </c>
      <c r="G8" s="42">
        <f>$F$24</f>
        <v/>
      </c>
      <c r="H8" s="43">
        <f>INT(G8)</f>
        <v/>
      </c>
      <c r="I8" s="43">
        <f>INT((G8-H8)*60)</f>
        <v/>
      </c>
      <c r="J8" s="44">
        <f>(((G8-H8)*60-I8)*60)</f>
        <v/>
      </c>
      <c r="K8" s="131">
        <f>INT(N8)</f>
        <v/>
      </c>
      <c r="L8" s="131">
        <f>INT((N8-K8)*60)</f>
        <v/>
      </c>
      <c r="M8" s="131">
        <f>((N8-K8)*60-L8)*60</f>
        <v/>
      </c>
      <c r="N8" s="46">
        <f>F8-G8</f>
        <v/>
      </c>
      <c r="O8" s="131">
        <f>INT(R8)</f>
        <v/>
      </c>
      <c r="P8" s="43">
        <f>INT((R8-O8)*60)</f>
        <v/>
      </c>
      <c r="Q8" s="47">
        <f>((R8-O8)*60-P8)*60</f>
        <v/>
      </c>
      <c r="R8" s="44">
        <f>MOD(S8,360)</f>
        <v/>
      </c>
      <c r="S8" s="37">
        <f>IF(R7&gt;180,R7-180+N8,R7+180+N8)</f>
        <v/>
      </c>
      <c r="T8" s="2" t="n">
        <v>18.117</v>
      </c>
      <c r="U8" s="56">
        <f>(COS(RADIANS(R8))*T8)</f>
        <v/>
      </c>
      <c r="V8" s="57">
        <f>(SIN(RADIANS(R8))*T8)</f>
        <v/>
      </c>
      <c r="W8" s="56">
        <f>((U8*U8)/T8)/100</f>
        <v/>
      </c>
      <c r="X8" s="144">
        <f>((V8*V8)/T8)/100</f>
        <v/>
      </c>
      <c r="Y8" s="42">
        <f>((U8*V8)/T8)/100</f>
        <v/>
      </c>
      <c r="Z8" s="44">
        <f>Y8*Y8</f>
        <v/>
      </c>
      <c r="AA8" s="171" t="n"/>
      <c r="AB8" s="172" t="n"/>
      <c r="AC8">
        <f>(W8*$AA$4)+(Y8*$AB$4)</f>
        <v/>
      </c>
      <c r="AD8">
        <f>((X8*$AB$4)+(Y8*$AA$4))</f>
        <v/>
      </c>
      <c r="AE8" s="148">
        <f>U8+AC8</f>
        <v/>
      </c>
      <c r="AF8" s="148">
        <f>V8+AD8</f>
        <v/>
      </c>
      <c r="AG8" s="148">
        <f>AG7+AE8</f>
        <v/>
      </c>
      <c r="AH8" s="148">
        <f>AH7+AF8</f>
        <v/>
      </c>
      <c r="AJ8">
        <f>CONCATENATE(AH8,",",AG8)</f>
        <v/>
      </c>
    </row>
    <row r="9">
      <c r="A9" s="38" t="inlineStr">
        <is>
          <t>D5</t>
        </is>
      </c>
      <c r="B9" s="38" t="inlineStr">
        <is>
          <t>D6</t>
        </is>
      </c>
      <c r="C9" s="48" t="n">
        <v>104</v>
      </c>
      <c r="D9" s="49" t="n">
        <v>46</v>
      </c>
      <c r="E9" s="49" t="n">
        <v>7</v>
      </c>
      <c r="F9" s="41">
        <f>C9+(D9/60)+(E9/3600)</f>
        <v/>
      </c>
      <c r="G9" s="42">
        <f>$F$24</f>
        <v/>
      </c>
      <c r="H9" s="43">
        <f>INT(G9)</f>
        <v/>
      </c>
      <c r="I9" s="43">
        <f>INT((G9-H9)*60)</f>
        <v/>
      </c>
      <c r="J9" s="44">
        <f>(((G9-H9)*60-I9)*60)</f>
        <v/>
      </c>
      <c r="K9" s="131">
        <f>INT(N9)</f>
        <v/>
      </c>
      <c r="L9" s="131">
        <f>INT((N9-K9)*60)</f>
        <v/>
      </c>
      <c r="M9" s="131">
        <f>((N9-K9)*60-L9)*60</f>
        <v/>
      </c>
      <c r="N9" s="46">
        <f>F9-G9</f>
        <v/>
      </c>
      <c r="O9" s="131">
        <f>INT(R9)</f>
        <v/>
      </c>
      <c r="P9" s="43">
        <f>INT((R9-O9)*60)</f>
        <v/>
      </c>
      <c r="Q9" s="47">
        <f>((R9-O9)*60-P9)*60</f>
        <v/>
      </c>
      <c r="R9" s="44">
        <f>MOD(S9,360)</f>
        <v/>
      </c>
      <c r="S9" s="37">
        <f>IF(R8&gt;180,R8-180+N9,R8+180+N9)</f>
        <v/>
      </c>
      <c r="T9" s="2" t="n">
        <v>15.425</v>
      </c>
      <c r="U9" s="56">
        <f>(COS(RADIANS(R9))*T9)</f>
        <v/>
      </c>
      <c r="V9" s="57">
        <f>(SIN(RADIANS(R9))*T9)</f>
        <v/>
      </c>
      <c r="W9" s="56">
        <f>((U9*U9)/T9)/100</f>
        <v/>
      </c>
      <c r="X9" s="144">
        <f>((V9*V9)/T9)/100</f>
        <v/>
      </c>
      <c r="Y9" s="42">
        <f>((U9*V9)/T9)/100</f>
        <v/>
      </c>
      <c r="Z9" s="44">
        <f>Y9*Y9</f>
        <v/>
      </c>
      <c r="AA9" s="168" t="n"/>
      <c r="AB9" s="172" t="n"/>
      <c r="AC9">
        <f>(W9*$AA$4)+(Y9*$AB$4)</f>
        <v/>
      </c>
      <c r="AD9">
        <f>((X9*$AB$4)+(Y9*$AA$4))</f>
        <v/>
      </c>
      <c r="AE9" s="148">
        <f>U9+AC9</f>
        <v/>
      </c>
      <c r="AF9" s="148">
        <f>V9+AD9</f>
        <v/>
      </c>
      <c r="AG9" s="148">
        <f>AG8+AE9</f>
        <v/>
      </c>
      <c r="AH9" s="148">
        <f>AH8+AF9</f>
        <v/>
      </c>
      <c r="AJ9">
        <f>CONCATENATE(AH9,",",AG9)</f>
        <v/>
      </c>
    </row>
    <row r="10">
      <c r="A10" s="38" t="inlineStr">
        <is>
          <t>D6</t>
        </is>
      </c>
      <c r="B10" s="38" t="inlineStr">
        <is>
          <t>GR-05</t>
        </is>
      </c>
      <c r="C10" s="48" t="n">
        <v>299</v>
      </c>
      <c r="D10" s="49" t="n">
        <v>18</v>
      </c>
      <c r="E10" s="49" t="n">
        <v>51</v>
      </c>
      <c r="F10" s="41">
        <f>C10+(D10/60)+(E10/3600)</f>
        <v/>
      </c>
      <c r="G10" s="42">
        <f>$F$24</f>
        <v/>
      </c>
      <c r="H10" s="43">
        <f>INT(G10)</f>
        <v/>
      </c>
      <c r="I10" s="43">
        <f>INT((G10-H10)*60)</f>
        <v/>
      </c>
      <c r="J10" s="44">
        <f>(((G10-H10)*60-I10)*60)</f>
        <v/>
      </c>
      <c r="K10" s="131">
        <f>INT(N10)</f>
        <v/>
      </c>
      <c r="L10" s="131">
        <f>INT((N10-K10)*60)</f>
        <v/>
      </c>
      <c r="M10" s="131">
        <f>((N10-K10)*60-L10)*60</f>
        <v/>
      </c>
      <c r="N10" s="46">
        <f>F10-G10</f>
        <v/>
      </c>
      <c r="O10" s="131">
        <f>INT(R10)</f>
        <v/>
      </c>
      <c r="P10" s="43">
        <f>INT((R10-O10)*60)</f>
        <v/>
      </c>
      <c r="Q10" s="47">
        <f>((R10-O10)*60-P10)*60</f>
        <v/>
      </c>
      <c r="R10" s="44">
        <f>MOD(S10,360)</f>
        <v/>
      </c>
      <c r="S10" s="37">
        <f>IF(R9&gt;180,R9-180+N10,R9+180+N10)</f>
        <v/>
      </c>
      <c r="T10" s="50" t="n"/>
      <c r="U10" s="56" t="n"/>
      <c r="V10" s="57" t="n"/>
      <c r="W10" s="56" t="n"/>
      <c r="X10" s="58" t="n"/>
      <c r="Y10" s="42" t="n"/>
      <c r="Z10" s="44" t="n"/>
      <c r="AA10" s="38" t="n"/>
    </row>
    <row r="11">
      <c r="A11" s="38" t="inlineStr">
        <is>
          <t>GR-05</t>
        </is>
      </c>
      <c r="B11" s="38" t="inlineStr">
        <is>
          <t>CN-1</t>
        </is>
      </c>
      <c r="C11" s="59" t="n"/>
      <c r="D11" s="60" t="n"/>
      <c r="E11" s="60" t="n"/>
      <c r="F11" s="61" t="n"/>
      <c r="G11" s="42" t="n"/>
      <c r="H11" s="43" t="n"/>
      <c r="I11" s="43" t="n"/>
      <c r="J11" s="44" t="n"/>
      <c r="K11" s="131" t="n"/>
      <c r="L11" s="131" t="n"/>
      <c r="M11" s="131" t="n"/>
      <c r="N11" s="46" t="n"/>
      <c r="O11" s="131" t="n"/>
      <c r="P11" s="43" t="n"/>
      <c r="Q11" s="47" t="n"/>
      <c r="R11" s="44" t="n"/>
      <c r="S11" s="37" t="n"/>
      <c r="T11" s="62" t="n"/>
      <c r="U11" s="39" t="n"/>
      <c r="V11" s="63" t="n"/>
      <c r="W11" s="56" t="n"/>
      <c r="X11" s="58" t="n"/>
      <c r="Y11" s="42" t="n"/>
      <c r="Z11" s="44" t="n"/>
      <c r="AA11" s="38" t="n"/>
    </row>
    <row r="12">
      <c r="A12" s="38" t="n"/>
      <c r="B12" s="64" t="n"/>
      <c r="C12" s="39" t="n"/>
      <c r="D12" s="40" t="n"/>
      <c r="E12" s="40" t="n"/>
      <c r="F12" s="65" t="n"/>
      <c r="G12" s="39" t="n"/>
      <c r="H12" s="40" t="n"/>
      <c r="I12" s="40" t="n"/>
      <c r="J12" s="63" t="n"/>
      <c r="K12" s="66" t="n"/>
      <c r="L12" s="40" t="n"/>
      <c r="M12" s="40" t="n"/>
      <c r="N12" s="63" t="n"/>
      <c r="O12" s="66" t="n"/>
      <c r="P12" s="40" t="n"/>
      <c r="Q12" s="40" t="n"/>
      <c r="R12" s="63" t="n"/>
      <c r="S12" s="107" t="n"/>
      <c r="T12" s="64" t="n"/>
      <c r="U12" s="39" t="n"/>
      <c r="V12" s="63" t="n"/>
      <c r="W12" s="39" t="n"/>
      <c r="X12" s="65" t="n"/>
      <c r="Y12" s="39" t="n"/>
      <c r="Z12" s="63" t="n"/>
      <c r="AA12" s="64" t="n"/>
    </row>
    <row r="13">
      <c r="A13" s="64" t="n"/>
      <c r="B13" s="64" t="n"/>
      <c r="C13" s="39" t="n"/>
      <c r="D13" s="40" t="n"/>
      <c r="E13" s="40" t="n"/>
      <c r="F13" s="65" t="n"/>
      <c r="G13" s="39" t="n"/>
      <c r="H13" s="40" t="n"/>
      <c r="I13" s="40" t="n"/>
      <c r="J13" s="63" t="n"/>
      <c r="K13" s="66" t="n"/>
      <c r="L13" s="40" t="n"/>
      <c r="M13" s="40" t="n"/>
      <c r="N13" s="63" t="n"/>
      <c r="O13" s="66" t="n"/>
      <c r="P13" s="40" t="n"/>
      <c r="Q13" s="40" t="n"/>
      <c r="R13" s="63" t="n"/>
      <c r="S13" s="107" t="n"/>
      <c r="T13" s="64" t="n"/>
      <c r="U13" s="39" t="n"/>
      <c r="V13" s="63" t="n"/>
      <c r="W13" s="39" t="n"/>
      <c r="X13" s="65" t="n"/>
      <c r="Y13" s="39" t="n"/>
      <c r="Z13" s="63" t="n"/>
      <c r="AA13" s="64" t="n"/>
      <c r="AG13" t="n">
        <v>100135.666</v>
      </c>
      <c r="AH13" t="n">
        <v>101440.525</v>
      </c>
    </row>
    <row r="14">
      <c r="A14" s="64" t="n"/>
      <c r="B14" s="64" t="n"/>
      <c r="C14" s="39" t="n"/>
      <c r="D14" s="40" t="n"/>
      <c r="E14" s="40" t="n"/>
      <c r="F14" s="65" t="n"/>
      <c r="G14" s="39" t="n"/>
      <c r="H14" s="40" t="n"/>
      <c r="I14" s="40" t="n"/>
      <c r="J14" s="63" t="n"/>
      <c r="K14" s="66" t="n"/>
      <c r="L14" s="40" t="n"/>
      <c r="M14" s="40" t="n"/>
      <c r="N14" s="63" t="n"/>
      <c r="O14" s="66" t="n"/>
      <c r="P14" s="40" t="n"/>
      <c r="Q14" s="40" t="n"/>
      <c r="R14" s="63" t="n"/>
      <c r="S14" s="107" t="n"/>
      <c r="T14" s="64" t="n"/>
      <c r="U14" s="39" t="n"/>
      <c r="V14" s="63" t="n"/>
      <c r="W14" s="39" t="n"/>
      <c r="X14" s="65" t="n"/>
      <c r="Y14" s="39" t="n"/>
      <c r="Z14" s="63" t="n"/>
      <c r="AA14" s="64" t="n"/>
      <c r="AG14" t="n">
        <v>100114.9155127663</v>
      </c>
      <c r="AH14" t="n">
        <v>101439.8510498366</v>
      </c>
      <c r="AI14" s="148">
        <f>AG14-AG4</f>
        <v/>
      </c>
      <c r="AJ14" s="148">
        <f>AH14-AH4</f>
        <v/>
      </c>
    </row>
    <row r="15">
      <c r="A15" s="64" t="n"/>
      <c r="B15" s="64" t="n"/>
      <c r="C15" s="39" t="n"/>
      <c r="D15" s="40" t="n"/>
      <c r="E15" s="40" t="n"/>
      <c r="F15" s="65" t="n"/>
      <c r="G15" s="39" t="n"/>
      <c r="H15" s="40" t="n"/>
      <c r="I15" s="40" t="n"/>
      <c r="J15" s="63" t="n"/>
      <c r="K15" s="66" t="n"/>
      <c r="L15" s="40" t="n"/>
      <c r="M15" s="40" t="n"/>
      <c r="N15" s="63" t="n"/>
      <c r="O15" s="66" t="n"/>
      <c r="P15" s="40" t="n"/>
      <c r="Q15" s="40" t="n"/>
      <c r="R15" s="63" t="n"/>
      <c r="S15" s="107" t="n"/>
      <c r="T15" s="64" t="n"/>
      <c r="U15" s="39" t="n"/>
      <c r="V15" s="63" t="n"/>
      <c r="W15" s="39" t="n"/>
      <c r="X15" s="65" t="n"/>
      <c r="Y15" s="39" t="n"/>
      <c r="Z15" s="63" t="n"/>
      <c r="AA15" s="64" t="n"/>
      <c r="AG15" t="n">
        <v>100108.027543804</v>
      </c>
      <c r="AH15" t="n">
        <v>101449.1969788223</v>
      </c>
      <c r="AI15" s="148">
        <f>AG15-AG5</f>
        <v/>
      </c>
      <c r="AJ15" s="148">
        <f>AH15-AH5</f>
        <v/>
      </c>
    </row>
    <row r="16" ht="15.75" customHeight="1" s="161" thickBot="1">
      <c r="A16" s="68" t="n"/>
      <c r="B16" s="68" t="n"/>
      <c r="C16" s="69" t="n"/>
      <c r="D16" s="70" t="n"/>
      <c r="E16" s="70" t="n"/>
      <c r="F16" s="71" t="n"/>
      <c r="G16" s="69" t="n"/>
      <c r="H16" s="70" t="n"/>
      <c r="I16" s="70" t="n"/>
      <c r="J16" s="72" t="n"/>
      <c r="K16" s="73" t="n"/>
      <c r="L16" s="70" t="n"/>
      <c r="M16" s="70" t="n"/>
      <c r="N16" s="72" t="n"/>
      <c r="O16" s="73" t="n"/>
      <c r="P16" s="70" t="n"/>
      <c r="Q16" s="70" t="n"/>
      <c r="R16" s="72" t="n"/>
      <c r="S16" s="74" t="n"/>
      <c r="T16" s="68" t="n"/>
      <c r="U16" s="69" t="n"/>
      <c r="V16" s="72" t="n"/>
      <c r="W16" s="69" t="n"/>
      <c r="X16" s="71" t="n"/>
      <c r="Y16" s="69" t="n"/>
      <c r="Z16" s="72" t="n"/>
      <c r="AA16" s="75" t="n"/>
      <c r="AG16" t="n">
        <v>100106.8871664331</v>
      </c>
      <c r="AH16" t="n">
        <v>101462.0047758986</v>
      </c>
      <c r="AI16" s="148">
        <f>AG16-AG6</f>
        <v/>
      </c>
      <c r="AJ16" s="148">
        <f>AH16-AH6</f>
        <v/>
      </c>
    </row>
    <row r="17" ht="15.75" customHeight="1" s="161" thickBot="1">
      <c r="A17" s="81" t="inlineStr">
        <is>
          <t>SUMATORIA</t>
        </is>
      </c>
      <c r="B17" s="173" t="n"/>
      <c r="C17" s="78" t="n"/>
      <c r="D17" s="79" t="n"/>
      <c r="E17" s="80" t="n"/>
      <c r="F17" s="81">
        <f>SUM(F4:F11)</f>
        <v/>
      </c>
      <c r="G17" s="78" t="n"/>
      <c r="H17" s="79" t="n"/>
      <c r="I17" s="79" t="n"/>
      <c r="J17" s="82" t="n"/>
      <c r="K17" s="83" t="n"/>
      <c r="L17" s="79" t="n"/>
      <c r="M17" s="80" t="n"/>
      <c r="N17" s="81">
        <f>SUM(N4:N11)</f>
        <v/>
      </c>
      <c r="O17" s="83" t="n"/>
      <c r="P17" s="79" t="n"/>
      <c r="Q17" s="79" t="n"/>
      <c r="R17" s="82" t="n"/>
      <c r="S17" s="150" t="n"/>
      <c r="T17" s="85">
        <f>SUM(T4:T11)</f>
        <v/>
      </c>
      <c r="U17" s="86">
        <f>SUM(U4:U11)</f>
        <v/>
      </c>
      <c r="V17" s="87">
        <f>SUM(V4:V11)</f>
        <v/>
      </c>
      <c r="W17" s="87">
        <f>SUM(W4:W11)</f>
        <v/>
      </c>
      <c r="X17" s="87">
        <f>SUM(X4:X11)</f>
        <v/>
      </c>
      <c r="Y17" s="87">
        <f>SUM(Y4:Y11)</f>
        <v/>
      </c>
      <c r="Z17" s="87">
        <f>SUM(Z4:Z11)</f>
        <v/>
      </c>
      <c r="AA17" s="89" t="n"/>
      <c r="AG17" t="n">
        <v>100143.8226959208</v>
      </c>
      <c r="AH17" t="n">
        <v>101465.919406241</v>
      </c>
      <c r="AI17" s="148">
        <f>AG17-AG7</f>
        <v/>
      </c>
      <c r="AJ17" s="148">
        <f>AH17-AH7</f>
        <v/>
      </c>
    </row>
    <row r="18" ht="15.75" customHeight="1" s="161" thickBot="1">
      <c r="A18" s="99" t="n"/>
      <c r="B18" s="99" t="n"/>
      <c r="C18" s="99" t="n"/>
      <c r="D18" s="99" t="n"/>
      <c r="E18" s="99" t="n"/>
      <c r="F18" s="99" t="n"/>
      <c r="G18" s="99" t="n"/>
      <c r="H18" s="99" t="n"/>
      <c r="I18" s="99" t="n"/>
      <c r="J18" s="99" t="n"/>
      <c r="K18" s="99" t="n"/>
      <c r="L18" s="99" t="n"/>
      <c r="M18" s="99" t="n"/>
      <c r="N18" s="99" t="n"/>
      <c r="O18" s="174" t="inlineStr">
        <is>
          <t xml:space="preserve">DIFERENCIAS O DELTAS  NS Y EW    </t>
        </is>
      </c>
      <c r="P18" s="163" t="n"/>
      <c r="Q18" s="163" t="n"/>
      <c r="R18" s="163" t="n"/>
      <c r="S18" s="163" t="n"/>
      <c r="T18" s="164" t="n"/>
      <c r="U18" s="93">
        <f>U17</f>
        <v/>
      </c>
      <c r="V18" s="94">
        <f>V17</f>
        <v/>
      </c>
      <c r="W18" s="95" t="n"/>
      <c r="X18" s="99" t="n"/>
      <c r="Y18" s="99" t="n"/>
      <c r="Z18" s="99" t="n"/>
      <c r="AA18" s="99" t="n"/>
      <c r="AG18" t="n">
        <v>100148.9456063507</v>
      </c>
      <c r="AH18" t="n">
        <v>101448.589674563</v>
      </c>
      <c r="AI18" s="148">
        <f>AG18-AG8</f>
        <v/>
      </c>
      <c r="AJ18" s="148">
        <f>AH18-AH8</f>
        <v/>
      </c>
    </row>
    <row r="19">
      <c r="A19" s="96" t="inlineStr">
        <is>
          <t>N. DE VERTICES</t>
        </is>
      </c>
      <c r="B19" s="165" t="n"/>
      <c r="C19" s="96" t="n">
        <v>6</v>
      </c>
      <c r="D19" s="163" t="n"/>
      <c r="E19" s="163" t="n"/>
      <c r="F19" s="165" t="n"/>
      <c r="G19" s="99" t="n"/>
      <c r="H19" s="99" t="n"/>
      <c r="I19" s="99" t="n"/>
      <c r="J19" s="99" t="n"/>
      <c r="K19" s="99" t="n"/>
      <c r="L19" s="99" t="n"/>
      <c r="M19" s="99" t="n"/>
      <c r="N19" s="99" t="n"/>
      <c r="O19" s="175" t="inlineStr">
        <is>
          <t>SUMA DE PROYECIONES N+S Y E+W</t>
        </is>
      </c>
      <c r="P19" s="176" t="n"/>
      <c r="Q19" s="176" t="n"/>
      <c r="R19" s="176" t="n"/>
      <c r="S19" s="176" t="n"/>
      <c r="T19" s="177" t="n"/>
      <c r="U19" s="103">
        <f>SUM(ABS(U4)+ABS(U5)+ABS(U6)+ABS(U7)+ABS(U8)+ABS(U9)+ABS(U10)+ABS(U11)+ABS(U12)+ABS(U13)+ABS(U14)+ABS(U15)+ABS(U16))</f>
        <v/>
      </c>
      <c r="V19" s="104">
        <f>SUM(ABS(V4)+ABS(V5)+ABS(V6)+ABS(V7)+ABS(V8)+ABS(V9)+ABS(V10)+ABS(V11)+ABS(V12)+ABS(V13)+ABS(V14)+ABS(V15)+ABS(V16))</f>
        <v/>
      </c>
      <c r="W19" s="95" t="n"/>
      <c r="X19" s="96" t="n"/>
      <c r="Y19" s="163" t="n"/>
      <c r="Z19" s="165" t="n"/>
      <c r="AA19" s="99" t="n"/>
      <c r="AG19" t="n">
        <v>100135.666</v>
      </c>
      <c r="AH19" t="n">
        <v>101440.525</v>
      </c>
      <c r="AI19" s="148">
        <f>AG19-AG9</f>
        <v/>
      </c>
      <c r="AJ19" s="148">
        <f>AH19-AH9</f>
        <v/>
      </c>
    </row>
    <row r="20">
      <c r="A20" s="64" t="inlineStr">
        <is>
          <t>TIPO DE ANGULO</t>
        </is>
      </c>
      <c r="B20" s="177" t="n"/>
      <c r="C20" s="64" t="inlineStr">
        <is>
          <t>I</t>
        </is>
      </c>
      <c r="D20" s="176" t="n"/>
      <c r="E20" s="176" t="n"/>
      <c r="F20" s="177" t="n"/>
      <c r="G20" s="99" t="n"/>
      <c r="H20" s="99" t="n"/>
      <c r="I20" s="99" t="n"/>
      <c r="J20" s="99" t="n"/>
      <c r="K20" s="99" t="n"/>
      <c r="L20" s="99" t="n"/>
      <c r="M20" s="99" t="n"/>
      <c r="N20" s="99" t="n"/>
      <c r="O20" s="175" t="inlineStr">
        <is>
          <t xml:space="preserve">CORECCION UNITARIA  PARA LAS NS Y EW </t>
        </is>
      </c>
      <c r="P20" s="176" t="n"/>
      <c r="Q20" s="176" t="n"/>
      <c r="R20" s="176" t="n"/>
      <c r="S20" s="176" t="n"/>
      <c r="T20" s="177" t="n"/>
      <c r="U20" s="108">
        <f>U18/U19</f>
        <v/>
      </c>
      <c r="V20" s="109">
        <f>V18/V19</f>
        <v/>
      </c>
      <c r="W20" s="110" t="n"/>
      <c r="X20" s="39" t="n"/>
      <c r="Y20" s="40" t="n"/>
      <c r="Z20" s="63" t="n"/>
      <c r="AA20" s="99" t="n"/>
    </row>
    <row r="21" ht="15.75" customHeight="1" s="161" thickBot="1">
      <c r="A21" s="111" t="inlineStr">
        <is>
          <t>SUMA DE ANG. OBSSERVADOS</t>
        </is>
      </c>
      <c r="B21" s="178" t="n"/>
      <c r="C21" s="42">
        <f>INT(F21)</f>
        <v/>
      </c>
      <c r="D21" s="43">
        <f>INT((F21-C21)*60)</f>
        <v/>
      </c>
      <c r="E21" s="113">
        <f>((F21-C21)*60-D21)*60</f>
        <v/>
      </c>
      <c r="F21" s="44">
        <f>F17</f>
        <v/>
      </c>
      <c r="G21" s="132" t="n"/>
      <c r="H21" s="132" t="n"/>
      <c r="I21" s="132" t="n"/>
      <c r="J21" s="132" t="n"/>
      <c r="K21" s="99" t="n"/>
      <c r="L21" s="99" t="n"/>
      <c r="M21" s="99" t="n"/>
      <c r="N21" s="99" t="n"/>
      <c r="O21" s="179" t="inlineStr">
        <is>
          <t xml:space="preserve">ERROR DE CIERRE DE LA POLIGONAL  </t>
        </is>
      </c>
      <c r="P21" s="180" t="n"/>
      <c r="Q21" s="180" t="n"/>
      <c r="R21" s="180" t="n"/>
      <c r="S21" s="180" t="n"/>
      <c r="T21" s="181" t="n"/>
      <c r="U21" s="118">
        <f>(SQRT(POWER(U17,2)+POWER(V17,2)))</f>
        <v/>
      </c>
      <c r="V21" s="119" t="n"/>
      <c r="W21" s="95" t="n"/>
      <c r="X21" s="39" t="n"/>
      <c r="Y21" s="43" t="n"/>
      <c r="Z21" s="44" t="n"/>
      <c r="AA21" s="99" t="n"/>
    </row>
    <row r="22" ht="15.75" customHeight="1" s="161" thickBot="1">
      <c r="A22" s="182" t="inlineStr">
        <is>
          <t>SUMA DE ANG. TEORICOS</t>
        </is>
      </c>
      <c r="B22" s="177" t="n"/>
      <c r="C22" s="42">
        <f>INT(F22)</f>
        <v/>
      </c>
      <c r="D22" s="43">
        <f>INT((F22-C22)*60)</f>
        <v/>
      </c>
      <c r="E22" s="113">
        <f>((F22-C22)*60-D22)*60</f>
        <v/>
      </c>
      <c r="F22" s="44">
        <f>IF(C20="E",(C19+2)*180,((C19-2)*180)+360)</f>
        <v/>
      </c>
      <c r="G22" s="132" t="n"/>
      <c r="H22" s="132" t="n"/>
      <c r="I22" s="132" t="n"/>
      <c r="J22" s="132" t="n"/>
      <c r="K22" s="99" t="n"/>
      <c r="L22" s="99" t="n"/>
      <c r="M22" s="99" t="n"/>
      <c r="N22" s="99" t="n"/>
      <c r="O22" s="183" t="inlineStr">
        <is>
          <t xml:space="preserve">                    PRECISION                                                1 :</t>
        </is>
      </c>
      <c r="P22" s="184" t="n"/>
      <c r="Q22" s="184" t="n"/>
      <c r="R22" s="184" t="n"/>
      <c r="S22" s="184" t="n"/>
      <c r="T22" s="173" t="n"/>
      <c r="U22" s="185">
        <f>MROUND(T17/U21,1000)</f>
        <v/>
      </c>
      <c r="V22" s="173" t="n"/>
      <c r="W22" s="127" t="n"/>
      <c r="X22" s="128" t="n"/>
      <c r="Y22" s="20" t="n"/>
      <c r="Z22" s="21" t="n"/>
      <c r="AA22" s="99" t="n"/>
    </row>
    <row r="23">
      <c r="A23" s="64" t="inlineStr">
        <is>
          <t>ERROR EN ÁNGULO</t>
        </is>
      </c>
      <c r="B23" s="177" t="n"/>
      <c r="C23" s="42">
        <f>ROUNDDOWN(F23,0)&amp;"°"&amp;ROUNDDOWN((F23-ROUNDDOWN(F23,0))*60,0)&amp;"'"&amp;(ROUNDDOWN((((F23-ROUNDDOWN(F23,0))*60)-(ROUNDDOWN(((F23-ROUNDDOWN(F23,0))*60),0)))*60,2))&amp;"''"</f>
        <v/>
      </c>
      <c r="D23" s="176" t="n"/>
      <c r="E23" s="178" t="n"/>
      <c r="F23" s="44">
        <f>F21-F22</f>
        <v/>
      </c>
      <c r="G23" s="132" t="n"/>
      <c r="H23" s="132" t="n"/>
      <c r="I23" s="132" t="n"/>
      <c r="J23" s="132" t="n"/>
      <c r="K23" s="99" t="n"/>
      <c r="L23" s="99" t="n"/>
      <c r="M23" s="99" t="n"/>
      <c r="N23" s="99" t="n"/>
      <c r="O23" s="99" t="n"/>
      <c r="P23" s="99" t="n"/>
      <c r="Q23" s="99" t="n"/>
      <c r="R23" s="99" t="n"/>
      <c r="S23" s="132" t="n"/>
      <c r="T23" s="132" t="n"/>
      <c r="U23" s="99" t="n"/>
      <c r="V23" s="99" t="n"/>
      <c r="W23" s="99" t="n"/>
      <c r="X23" s="99" t="n"/>
      <c r="Y23" s="99" t="n"/>
      <c r="Z23" s="99" t="n"/>
      <c r="AA23" s="99" t="n"/>
    </row>
    <row r="24" ht="15.75" customHeight="1" s="161" thickBot="1">
      <c r="A24" s="75" t="inlineStr">
        <is>
          <t>CORR. ANGULAR</t>
        </is>
      </c>
      <c r="B24" s="181" t="n"/>
      <c r="C24" s="17">
        <f>ROUNDDOWN(F24,0)&amp;"°"&amp;ROUNDDOWN((F24-ROUNDDOWN(F24,0))*60,0)&amp;"'"&amp;(ROUNDDOWN((((F24-ROUNDDOWN(F24,0))*60)-(ROUNDDOWN(((F24-ROUNDDOWN(F24,0))*60),0)))*60,2))&amp;"''"</f>
        <v/>
      </c>
      <c r="D24" s="180" t="n"/>
      <c r="E24" s="186" t="n"/>
      <c r="F24" s="21">
        <f>F23/(C19+1)</f>
        <v/>
      </c>
      <c r="G24" s="132" t="n"/>
      <c r="H24" s="132" t="n"/>
      <c r="I24" s="132" t="n"/>
      <c r="J24" s="132" t="n"/>
      <c r="K24" s="99" t="n"/>
      <c r="L24" s="99" t="n"/>
      <c r="M24" s="99" t="n"/>
      <c r="N24" s="99" t="n"/>
      <c r="O24" s="99" t="n"/>
      <c r="P24" s="99" t="n"/>
      <c r="Q24" s="99" t="n"/>
      <c r="R24" s="99" t="n"/>
      <c r="S24" s="132" t="n"/>
      <c r="U24" s="99" t="n"/>
      <c r="V24" s="99" t="n"/>
      <c r="W24" s="99" t="n"/>
      <c r="X24" s="99" t="n"/>
      <c r="Y24" s="99" t="n"/>
      <c r="Z24" s="99" t="n"/>
      <c r="AA24" s="99" t="n"/>
    </row>
  </sheetData>
  <mergeCells count="39">
    <mergeCell ref="O20:T20"/>
    <mergeCell ref="X19:Z19"/>
    <mergeCell ref="U22:V22"/>
    <mergeCell ref="A24:B24"/>
    <mergeCell ref="AB1:AB2"/>
    <mergeCell ref="AD1:AD2"/>
    <mergeCell ref="O22:T22"/>
    <mergeCell ref="G1:J1"/>
    <mergeCell ref="C19:F19"/>
    <mergeCell ref="W1:W2"/>
    <mergeCell ref="Y1:Y2"/>
    <mergeCell ref="O21:T21"/>
    <mergeCell ref="AB4:AB9"/>
    <mergeCell ref="C23:E23"/>
    <mergeCell ref="O1:S1"/>
    <mergeCell ref="B1:B2"/>
    <mergeCell ref="AC1:AC2"/>
    <mergeCell ref="AE1:AE2"/>
    <mergeCell ref="T1:T2"/>
    <mergeCell ref="AF1:AF2"/>
    <mergeCell ref="X1:X2"/>
    <mergeCell ref="A21:B21"/>
    <mergeCell ref="AA4:AA9"/>
    <mergeCell ref="C20:F20"/>
    <mergeCell ref="C1:F1"/>
    <mergeCell ref="T23:T24"/>
    <mergeCell ref="A23:B23"/>
    <mergeCell ref="Z1:Z2"/>
    <mergeCell ref="A17:B17"/>
    <mergeCell ref="K1:N1"/>
    <mergeCell ref="A22:B22"/>
    <mergeCell ref="C24:E24"/>
    <mergeCell ref="O19:T19"/>
    <mergeCell ref="A20:B20"/>
    <mergeCell ref="O18:T18"/>
    <mergeCell ref="A19:B19"/>
    <mergeCell ref="U1:V1"/>
    <mergeCell ref="AA1:AA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AE27"/>
  <sheetViews>
    <sheetView zoomScale="85" zoomScaleNormal="85" workbookViewId="0">
      <selection activeCell="AE2" sqref="A2:AE27"/>
    </sheetView>
  </sheetViews>
  <sheetFormatPr baseColWidth="10" defaultRowHeight="15"/>
  <cols>
    <col width="12.5703125" customWidth="1" style="161" min="24" max="24"/>
  </cols>
  <sheetData>
    <row r="1" ht="15.75" customHeight="1" s="161" thickBot="1"/>
    <row r="2" ht="15.75" customHeight="1" s="161" thickBot="1">
      <c r="B2" s="187" t="inlineStr">
        <is>
          <t>AJUSTE DE POLIGONAL CERRADA POR EL METODO DE TRANSITO</t>
        </is>
      </c>
      <c r="C2" s="184" t="n"/>
      <c r="D2" s="184" t="n"/>
      <c r="E2" s="184" t="n"/>
      <c r="F2" s="184" t="n"/>
      <c r="G2" s="184" t="n"/>
      <c r="H2" s="184" t="n"/>
      <c r="I2" s="184" t="n"/>
      <c r="J2" s="184" t="n"/>
      <c r="K2" s="184" t="n"/>
      <c r="L2" s="184" t="n"/>
      <c r="M2" s="184" t="n"/>
      <c r="N2" s="184" t="n"/>
      <c r="O2" s="184" t="n"/>
      <c r="P2" s="184" t="n"/>
      <c r="Q2" s="184" t="n"/>
      <c r="R2" s="184" t="n"/>
      <c r="S2" s="184" t="n"/>
      <c r="T2" s="184" t="n"/>
      <c r="U2" s="184" t="n"/>
      <c r="V2" s="184" t="n"/>
      <c r="W2" s="184" t="n"/>
      <c r="X2" s="184" t="n"/>
      <c r="Y2" s="184" t="n"/>
      <c r="Z2" s="184" t="n"/>
      <c r="AA2" s="184" t="n"/>
      <c r="AB2" s="184" t="n"/>
      <c r="AC2" s="184" t="n"/>
      <c r="AD2" s="173" t="n"/>
    </row>
    <row r="3" ht="15.75" customHeight="1" s="161" thickBot="1"/>
    <row r="4" ht="15.75" customHeight="1" s="161" thickBot="1">
      <c r="A4" s="162" t="inlineStr">
        <is>
          <t>DELTA</t>
        </is>
      </c>
      <c r="B4" s="152" t="inlineStr">
        <is>
          <t>PUNTO</t>
        </is>
      </c>
      <c r="C4" s="27" t="inlineStr">
        <is>
          <t>ANG. HOR</t>
        </is>
      </c>
      <c r="D4" s="163" t="n"/>
      <c r="E4" s="163" t="n"/>
      <c r="F4" s="164" t="n"/>
      <c r="G4" s="31" t="inlineStr">
        <is>
          <t>CORR</t>
        </is>
      </c>
      <c r="H4" s="163" t="n"/>
      <c r="I4" s="163" t="n"/>
      <c r="J4" s="165" t="n"/>
      <c r="K4" s="27" t="inlineStr">
        <is>
          <t>ANG. HOR. CORREGIDO</t>
        </is>
      </c>
      <c r="L4" s="163" t="n"/>
      <c r="M4" s="163" t="n"/>
      <c r="N4" s="164" t="n"/>
      <c r="O4" s="10" t="inlineStr">
        <is>
          <t>AZIMUT</t>
        </is>
      </c>
      <c r="P4" s="163" t="n"/>
      <c r="Q4" s="163" t="n"/>
      <c r="R4" s="163" t="n"/>
      <c r="S4" s="164" t="n"/>
      <c r="T4" s="27" t="inlineStr">
        <is>
          <t>DIST</t>
        </is>
      </c>
      <c r="U4" s="31" t="inlineStr">
        <is>
          <t>PROYECCIONES</t>
        </is>
      </c>
      <c r="V4" s="165" t="n"/>
      <c r="W4" s="27" t="inlineStr">
        <is>
          <t>PROYECCIONES ABSOLUTAS</t>
        </is>
      </c>
      <c r="X4" s="164" t="n"/>
      <c r="Y4" s="31" t="inlineStr">
        <is>
          <t>CORRECIÓN</t>
        </is>
      </c>
      <c r="Z4" s="165" t="n"/>
      <c r="AA4" s="31" t="inlineStr">
        <is>
          <t>PROY CORREGIDAS</t>
        </is>
      </c>
      <c r="AB4" s="165" t="n"/>
      <c r="AC4" s="138" t="inlineStr">
        <is>
          <t>COORDENADAS</t>
        </is>
      </c>
      <c r="AD4" s="188" t="n"/>
      <c r="AE4" s="27" t="inlineStr">
        <is>
          <t>PUNTO</t>
        </is>
      </c>
    </row>
    <row r="5" ht="15.75" customHeight="1" s="161" thickBot="1">
      <c r="A5" s="166" t="n"/>
      <c r="B5" s="167" t="n"/>
      <c r="C5" s="17" t="inlineStr">
        <is>
          <t>G</t>
        </is>
      </c>
      <c r="D5" s="20" t="inlineStr">
        <is>
          <t>M</t>
        </is>
      </c>
      <c r="E5" s="20" t="inlineStr">
        <is>
          <t>S</t>
        </is>
      </c>
      <c r="F5" s="21" t="inlineStr">
        <is>
          <t xml:space="preserve">DEC </t>
        </is>
      </c>
      <c r="G5" s="17" t="inlineStr">
        <is>
          <t>DEC</t>
        </is>
      </c>
      <c r="H5" s="20" t="inlineStr">
        <is>
          <t>G</t>
        </is>
      </c>
      <c r="I5" s="20" t="inlineStr">
        <is>
          <t>M</t>
        </is>
      </c>
      <c r="J5" s="21" t="inlineStr">
        <is>
          <t>S</t>
        </is>
      </c>
      <c r="K5" s="135" t="inlineStr">
        <is>
          <t>G</t>
        </is>
      </c>
      <c r="L5" s="136" t="inlineStr">
        <is>
          <t>M</t>
        </is>
      </c>
      <c r="M5" s="136" t="inlineStr">
        <is>
          <t>S</t>
        </is>
      </c>
      <c r="N5" s="24" t="inlineStr">
        <is>
          <t>DEC</t>
        </is>
      </c>
      <c r="O5" s="137" t="inlineStr">
        <is>
          <t>G</t>
        </is>
      </c>
      <c r="P5" s="20" t="inlineStr">
        <is>
          <t>M</t>
        </is>
      </c>
      <c r="Q5" s="20" t="inlineStr">
        <is>
          <t>S</t>
        </is>
      </c>
      <c r="R5" s="21" t="inlineStr">
        <is>
          <t>DEC</t>
        </is>
      </c>
      <c r="S5" s="136" t="inlineStr">
        <is>
          <t>DEC</t>
        </is>
      </c>
      <c r="T5" s="168" t="n"/>
      <c r="U5" s="17" t="inlineStr">
        <is>
          <t>N-S</t>
        </is>
      </c>
      <c r="V5" s="21" t="inlineStr">
        <is>
          <t>E-W</t>
        </is>
      </c>
      <c r="W5" s="136" t="inlineStr">
        <is>
          <t>|PN|</t>
        </is>
      </c>
      <c r="X5" s="136" t="inlineStr">
        <is>
          <t>|PE|</t>
        </is>
      </c>
      <c r="Y5" s="17" t="inlineStr">
        <is>
          <t>CPN</t>
        </is>
      </c>
      <c r="Z5" s="21" t="inlineStr">
        <is>
          <t>CPE</t>
        </is>
      </c>
      <c r="AA5" s="152" t="inlineStr">
        <is>
          <t>PNC</t>
        </is>
      </c>
      <c r="AB5" s="160" t="inlineStr">
        <is>
          <t>PEC</t>
        </is>
      </c>
      <c r="AC5" s="154" t="inlineStr">
        <is>
          <t>N</t>
        </is>
      </c>
      <c r="AD5" s="155" t="inlineStr">
        <is>
          <t>E</t>
        </is>
      </c>
      <c r="AE5" s="168" t="n"/>
    </row>
    <row r="6" ht="15.75" customHeight="1" s="161" thickBot="1">
      <c r="A6" s="27" t="n"/>
      <c r="B6" s="27" t="inlineStr">
        <is>
          <t>TT4</t>
        </is>
      </c>
      <c r="C6" s="96" t="n">
        <v>0</v>
      </c>
      <c r="D6" s="98" t="n">
        <v>0</v>
      </c>
      <c r="E6" s="98" t="n">
        <v>0</v>
      </c>
      <c r="F6" s="30" t="n"/>
      <c r="G6" s="31" t="n"/>
      <c r="H6" s="32" t="n"/>
      <c r="I6" s="32" t="n"/>
      <c r="J6" s="33" t="n"/>
      <c r="K6" s="34" t="n"/>
      <c r="L6" s="34" t="n"/>
      <c r="M6" s="34" t="n"/>
      <c r="N6" s="35" t="n"/>
      <c r="O6" s="3" t="n">
        <v>330</v>
      </c>
      <c r="P6" s="4" t="n">
        <v>35</v>
      </c>
      <c r="Q6" s="5" t="n">
        <v>57.23</v>
      </c>
      <c r="R6" s="36">
        <f>O6+(P6/60)+(Q6/3600)</f>
        <v/>
      </c>
      <c r="S6" s="37" t="n"/>
      <c r="T6" s="27" t="n"/>
      <c r="U6" s="31" t="n"/>
      <c r="V6" s="33" t="n"/>
      <c r="W6" s="51" t="n"/>
      <c r="X6" s="51" t="n"/>
      <c r="Y6" s="31" t="n"/>
      <c r="Z6" s="55" t="n"/>
      <c r="AA6" s="132" t="n"/>
      <c r="AB6" s="132" t="n"/>
      <c r="AC6" t="n">
        <v>100135.666</v>
      </c>
      <c r="AD6" t="n">
        <v>101440.525</v>
      </c>
      <c r="AE6" s="27" t="inlineStr">
        <is>
          <t>V10</t>
        </is>
      </c>
    </row>
    <row r="7">
      <c r="A7" s="27" t="inlineStr">
        <is>
          <t>V10</t>
        </is>
      </c>
      <c r="B7" s="38" t="inlineStr">
        <is>
          <t>D1</t>
        </is>
      </c>
      <c r="C7" s="39" t="n">
        <v>211</v>
      </c>
      <c r="D7" s="40" t="n">
        <v>15</v>
      </c>
      <c r="E7" s="40" t="n">
        <v>7</v>
      </c>
      <c r="F7" s="41">
        <f>C7+(D7/60)+(E7/3600)</f>
        <v/>
      </c>
      <c r="G7" s="42">
        <f>$F$27</f>
        <v/>
      </c>
      <c r="H7" s="43">
        <f>INT(G7)</f>
        <v/>
      </c>
      <c r="I7" s="43">
        <f>INT((G7-H7)*60)</f>
        <v/>
      </c>
      <c r="J7" s="44">
        <f>(((G7-H7)*60-I7)*60)</f>
        <v/>
      </c>
      <c r="K7" s="131">
        <f>INT(N7)</f>
        <v/>
      </c>
      <c r="L7" s="131">
        <f>INT((N7-K7)*60)</f>
        <v/>
      </c>
      <c r="M7" s="131">
        <f>((N7-K7)*60-L7)*60</f>
        <v/>
      </c>
      <c r="N7" s="46">
        <f>F7-G7</f>
        <v/>
      </c>
      <c r="O7" s="131">
        <f>INT(R7)</f>
        <v/>
      </c>
      <c r="P7" s="43">
        <f>INT((R7-O7)*60)</f>
        <v/>
      </c>
      <c r="Q7" s="47">
        <f>((R7-O7)*60-P7)*60</f>
        <v/>
      </c>
      <c r="R7" s="44">
        <f>MOD(S7,360)</f>
        <v/>
      </c>
      <c r="S7" s="37">
        <f>R6+N7</f>
        <v/>
      </c>
      <c r="T7" s="2" t="n">
        <v>20.744</v>
      </c>
      <c r="U7" s="56">
        <f>(COS(RADIANS(R7))*T7)</f>
        <v/>
      </c>
      <c r="V7" s="57">
        <f>(SIN(RADIANS(R7))*T7)</f>
        <v/>
      </c>
      <c r="W7" s="149">
        <f>ABS(U7)</f>
        <v/>
      </c>
      <c r="X7" s="149">
        <f>ABS(V7)</f>
        <v/>
      </c>
      <c r="Y7" s="56">
        <f>($U$20/$W$20)*ABS(U7)</f>
        <v/>
      </c>
      <c r="Z7" s="58">
        <f>($V$20/$X$20)*ABS(V7)</f>
        <v/>
      </c>
      <c r="AA7" s="149">
        <f>U7-Y7</f>
        <v/>
      </c>
      <c r="AB7" s="149">
        <f>V7-Z7</f>
        <v/>
      </c>
      <c r="AC7" s="56">
        <f>AC6+AA7</f>
        <v/>
      </c>
      <c r="AD7" s="57">
        <f>AD6+AB7</f>
        <v/>
      </c>
      <c r="AE7" s="38">
        <f>A8</f>
        <v/>
      </c>
    </row>
    <row r="8">
      <c r="A8" s="38" t="inlineStr">
        <is>
          <t>D1</t>
        </is>
      </c>
      <c r="B8" s="38" t="inlineStr">
        <is>
          <t>D2</t>
        </is>
      </c>
      <c r="C8" s="39" t="n">
        <v>124</v>
      </c>
      <c r="D8" s="40" t="n">
        <v>29</v>
      </c>
      <c r="E8" s="40" t="n">
        <v>42</v>
      </c>
      <c r="F8" s="41">
        <f>C8+(D8/60)+(E8/3600)</f>
        <v/>
      </c>
      <c r="G8" s="42">
        <f>$F$27</f>
        <v/>
      </c>
      <c r="H8" s="43">
        <f>INT(G8)</f>
        <v/>
      </c>
      <c r="I8" s="43">
        <f>INT((G8-H8)*60)</f>
        <v/>
      </c>
      <c r="J8" s="44">
        <f>(((G8-H8)*60-I8)*60)</f>
        <v/>
      </c>
      <c r="K8" s="131">
        <f>INT(N8)</f>
        <v/>
      </c>
      <c r="L8" s="131">
        <f>INT((N8-K8)*60)</f>
        <v/>
      </c>
      <c r="M8" s="131">
        <f>((N8-K8)*60-L8)*60</f>
        <v/>
      </c>
      <c r="N8" s="46">
        <f>F8-G8</f>
        <v/>
      </c>
      <c r="O8" s="131">
        <f>INT(R8)</f>
        <v/>
      </c>
      <c r="P8" s="43">
        <f>INT((R8-O8)*60)</f>
        <v/>
      </c>
      <c r="Q8" s="47">
        <f>((R8-O8)*60-P8)*60</f>
        <v/>
      </c>
      <c r="R8" s="44">
        <f>MOD(S8,360)</f>
        <v/>
      </c>
      <c r="S8" s="37">
        <f>IF(R7&gt;180,R7-180+N8,R7+180+N8)</f>
        <v/>
      </c>
      <c r="T8" s="2" t="n">
        <v>11.606</v>
      </c>
      <c r="U8" s="56">
        <f>(COS(RADIANS(R8))*T8)</f>
        <v/>
      </c>
      <c r="V8" s="57">
        <f>(SIN(RADIANS(R8))*T8)</f>
        <v/>
      </c>
      <c r="W8" s="149">
        <f>ABS(U8)</f>
        <v/>
      </c>
      <c r="X8" s="149">
        <f>ABS(V8)</f>
        <v/>
      </c>
      <c r="Y8" s="56">
        <f>($U$20/$W$20)*ABS(U8)</f>
        <v/>
      </c>
      <c r="Z8" s="58">
        <f>($V$20/$X$20)*ABS(V8)</f>
        <v/>
      </c>
      <c r="AA8" s="149">
        <f>U8-Y8</f>
        <v/>
      </c>
      <c r="AB8" s="149">
        <f>V8-Z8</f>
        <v/>
      </c>
      <c r="AC8" s="56">
        <f>AC7+AA8</f>
        <v/>
      </c>
      <c r="AD8" s="57">
        <f>AD7+AB8</f>
        <v/>
      </c>
      <c r="AE8" s="38">
        <f>A9</f>
        <v/>
      </c>
    </row>
    <row r="9">
      <c r="A9" s="38" t="inlineStr">
        <is>
          <t>D2</t>
        </is>
      </c>
      <c r="B9" s="38" t="inlineStr">
        <is>
          <t>D3</t>
        </is>
      </c>
      <c r="C9" s="39" t="n">
        <v>148</v>
      </c>
      <c r="D9" s="40" t="n">
        <v>41</v>
      </c>
      <c r="E9" s="40" t="n">
        <v>41</v>
      </c>
      <c r="F9" s="41">
        <f>C9+(D9/60)+(E9/3600)</f>
        <v/>
      </c>
      <c r="G9" s="42">
        <f>$F$27</f>
        <v/>
      </c>
      <c r="H9" s="43">
        <f>INT(G9)</f>
        <v/>
      </c>
      <c r="I9" s="43">
        <f>INT((G9-H9)*60)</f>
        <v/>
      </c>
      <c r="J9" s="44">
        <f>(((G9-H9)*60-I9)*60)</f>
        <v/>
      </c>
      <c r="K9" s="131">
        <f>INT(N9)</f>
        <v/>
      </c>
      <c r="L9" s="131">
        <f>INT((N9-K9)*60)</f>
        <v/>
      </c>
      <c r="M9" s="131">
        <f>((N9-K9)*60-L9)*60</f>
        <v/>
      </c>
      <c r="N9" s="46">
        <f>F9-G9</f>
        <v/>
      </c>
      <c r="O9" s="131">
        <f>INT(R9)</f>
        <v/>
      </c>
      <c r="P9" s="43">
        <f>INT((R9-O9)*60)</f>
        <v/>
      </c>
      <c r="Q9" s="47">
        <f>((R9-O9)*60-P9)*60</f>
        <v/>
      </c>
      <c r="R9" s="44">
        <f>MOD(S9,360)</f>
        <v/>
      </c>
      <c r="S9" s="37">
        <f>IF(R8&gt;180,R8-180+N9,R8+180+N9)</f>
        <v/>
      </c>
      <c r="T9" s="2" t="n">
        <v>12.835</v>
      </c>
      <c r="U9" s="56">
        <f>(COS(RADIANS(R9))*T9)</f>
        <v/>
      </c>
      <c r="V9" s="57">
        <f>(SIN(RADIANS(R9))*T9)</f>
        <v/>
      </c>
      <c r="W9" s="149">
        <f>ABS(U9)</f>
        <v/>
      </c>
      <c r="X9" s="149">
        <f>ABS(V9)</f>
        <v/>
      </c>
      <c r="Y9" s="56">
        <f>($U$20/$W$20)*ABS(U9)</f>
        <v/>
      </c>
      <c r="Z9" s="58">
        <f>($V$20/$X$20)*ABS(V9)</f>
        <v/>
      </c>
      <c r="AA9" s="149">
        <f>U9-Y9</f>
        <v/>
      </c>
      <c r="AB9" s="149">
        <f>V9-Z9</f>
        <v/>
      </c>
      <c r="AC9" s="56">
        <f>AC8+AA9</f>
        <v/>
      </c>
      <c r="AD9" s="57">
        <f>AD8+AB9</f>
        <v/>
      </c>
      <c r="AE9" s="38">
        <f>A10</f>
        <v/>
      </c>
    </row>
    <row r="10">
      <c r="A10" s="38" t="inlineStr">
        <is>
          <t>D3</t>
        </is>
      </c>
      <c r="B10" s="38" t="inlineStr">
        <is>
          <t>D4</t>
        </is>
      </c>
      <c r="C10" s="39" t="n">
        <v>91</v>
      </c>
      <c r="D10" s="40" t="n">
        <v>1</v>
      </c>
      <c r="E10" s="40" t="n">
        <v>1</v>
      </c>
      <c r="F10" s="41">
        <f>C10+(D10/60)+(E10/3600)</f>
        <v/>
      </c>
      <c r="G10" s="42">
        <f>$F$27</f>
        <v/>
      </c>
      <c r="H10" s="43">
        <f>INT(G10)</f>
        <v/>
      </c>
      <c r="I10" s="43">
        <f>INT((G10-H10)*60)</f>
        <v/>
      </c>
      <c r="J10" s="44">
        <f>(((G10-H10)*60-I10)*60)</f>
        <v/>
      </c>
      <c r="K10" s="131">
        <f>INT(N10)</f>
        <v/>
      </c>
      <c r="L10" s="131">
        <f>INT((N10-K10)*60)</f>
        <v/>
      </c>
      <c r="M10" s="131">
        <f>((N10-K10)*60-L10)*60</f>
        <v/>
      </c>
      <c r="N10" s="46">
        <f>F10-G10</f>
        <v/>
      </c>
      <c r="O10" s="131">
        <f>INT(R10)</f>
        <v/>
      </c>
      <c r="P10" s="43">
        <f>INT((R10-O10)*60)</f>
        <v/>
      </c>
      <c r="Q10" s="47">
        <f>((R10-O10)*60-P10)*60</f>
        <v/>
      </c>
      <c r="R10" s="44">
        <f>MOD(S10,360)</f>
        <v/>
      </c>
      <c r="S10" s="37">
        <f>IF(R9&gt;180,R9-180+N10,R9+180+N10)</f>
        <v/>
      </c>
      <c r="T10" s="2" t="n">
        <v>36.985</v>
      </c>
      <c r="U10" s="56">
        <f>(COS(RADIANS(R10))*T10)</f>
        <v/>
      </c>
      <c r="V10" s="57">
        <f>(SIN(RADIANS(R10))*T10)</f>
        <v/>
      </c>
      <c r="W10" s="149">
        <f>ABS(U10)</f>
        <v/>
      </c>
      <c r="X10" s="149">
        <f>ABS(V10)</f>
        <v/>
      </c>
      <c r="Y10" s="56">
        <f>($U$20/$W$20)*ABS(U10)</f>
        <v/>
      </c>
      <c r="Z10" s="58">
        <f>($V$20/$X$20)*ABS(V10)</f>
        <v/>
      </c>
      <c r="AA10" s="149">
        <f>U10-Y10</f>
        <v/>
      </c>
      <c r="AB10" s="149">
        <f>V10-Z10</f>
        <v/>
      </c>
      <c r="AC10" s="56">
        <f>AC9+AA10</f>
        <v/>
      </c>
      <c r="AD10" s="57">
        <f>AD9+AB10</f>
        <v/>
      </c>
      <c r="AE10" s="38">
        <f>A11</f>
        <v/>
      </c>
    </row>
    <row r="11">
      <c r="A11" s="38" t="inlineStr">
        <is>
          <t>D4</t>
        </is>
      </c>
      <c r="B11" s="38" t="inlineStr">
        <is>
          <t>D5</t>
        </is>
      </c>
      <c r="C11" s="48" t="n">
        <v>100</v>
      </c>
      <c r="D11" s="49" t="n">
        <v>27</v>
      </c>
      <c r="E11" s="49" t="n">
        <v>43</v>
      </c>
      <c r="F11" s="41">
        <f>C11+(D11/60)+(E11/3600)</f>
        <v/>
      </c>
      <c r="G11" s="42">
        <f>$F$27</f>
        <v/>
      </c>
      <c r="H11" s="43">
        <f>INT(G11)</f>
        <v/>
      </c>
      <c r="I11" s="43">
        <f>INT((G11-H11)*60)</f>
        <v/>
      </c>
      <c r="J11" s="44">
        <f>(((G11-H11)*60-I11)*60)</f>
        <v/>
      </c>
      <c r="K11" s="131">
        <f>INT(N11)</f>
        <v/>
      </c>
      <c r="L11" s="131">
        <f>INT((N11-K11)*60)</f>
        <v/>
      </c>
      <c r="M11" s="131">
        <f>((N11-K11)*60-L11)*60</f>
        <v/>
      </c>
      <c r="N11" s="46">
        <f>F11-G11</f>
        <v/>
      </c>
      <c r="O11" s="131">
        <f>INT(R11)</f>
        <v/>
      </c>
      <c r="P11" s="43">
        <f>INT((R11-O11)*60)</f>
        <v/>
      </c>
      <c r="Q11" s="47">
        <f>((R11-O11)*60-P11)*60</f>
        <v/>
      </c>
      <c r="R11" s="44">
        <f>MOD(S11,360)</f>
        <v/>
      </c>
      <c r="S11" s="37">
        <f>IF(R10&gt;180,R10-180+N11,R10+180+N11)</f>
        <v/>
      </c>
      <c r="T11" s="2" t="n">
        <v>18.117</v>
      </c>
      <c r="U11" s="56">
        <f>(COS(RADIANS(R11))*T11)</f>
        <v/>
      </c>
      <c r="V11" s="57">
        <f>(SIN(RADIANS(R11))*T11)</f>
        <v/>
      </c>
      <c r="W11" s="149">
        <f>ABS(U11)</f>
        <v/>
      </c>
      <c r="X11" s="149">
        <f>ABS(V11)</f>
        <v/>
      </c>
      <c r="Y11" s="56">
        <f>($U$20/$W$20)*ABS(U11)</f>
        <v/>
      </c>
      <c r="Z11" s="58">
        <f>($V$20/$X$20)*ABS(V11)</f>
        <v/>
      </c>
      <c r="AA11" s="149">
        <f>U11-Y11</f>
        <v/>
      </c>
      <c r="AB11" s="149">
        <f>V11-Z11</f>
        <v/>
      </c>
      <c r="AC11" s="56">
        <f>AC10+AA11</f>
        <v/>
      </c>
      <c r="AD11" s="57">
        <f>AD10+AB11</f>
        <v/>
      </c>
      <c r="AE11" s="38">
        <f>A12</f>
        <v/>
      </c>
    </row>
    <row r="12">
      <c r="A12" s="38" t="inlineStr">
        <is>
          <t>D5</t>
        </is>
      </c>
      <c r="B12" s="38" t="inlineStr">
        <is>
          <t>V10</t>
        </is>
      </c>
      <c r="C12" s="48" t="n">
        <v>104</v>
      </c>
      <c r="D12" s="49" t="n">
        <v>46</v>
      </c>
      <c r="E12" s="49" t="n">
        <v>7</v>
      </c>
      <c r="F12" s="41">
        <f>C12+(D12/60)+(E12/3600)</f>
        <v/>
      </c>
      <c r="G12" s="42">
        <f>$F$27</f>
        <v/>
      </c>
      <c r="H12" s="43">
        <f>INT(G12)</f>
        <v/>
      </c>
      <c r="I12" s="43">
        <f>INT((G12-H12)*60)</f>
        <v/>
      </c>
      <c r="J12" s="44">
        <f>(((G12-H12)*60-I12)*60)</f>
        <v/>
      </c>
      <c r="K12" s="131">
        <f>INT(N12)</f>
        <v/>
      </c>
      <c r="L12" s="131">
        <f>INT((N12-K12)*60)</f>
        <v/>
      </c>
      <c r="M12" s="131">
        <f>((N12-K12)*60-L12)*60</f>
        <v/>
      </c>
      <c r="N12" s="46">
        <f>F12-G12</f>
        <v/>
      </c>
      <c r="O12" s="131">
        <f>INT(R12)</f>
        <v/>
      </c>
      <c r="P12" s="43">
        <f>INT((R12-O12)*60)</f>
        <v/>
      </c>
      <c r="Q12" s="47">
        <f>((R12-O12)*60-P12)*60</f>
        <v/>
      </c>
      <c r="R12" s="44">
        <f>MOD(S12,360)</f>
        <v/>
      </c>
      <c r="S12" s="37">
        <f>IF(R11&gt;180,R11-180+N12,R11+180+N12)</f>
        <v/>
      </c>
      <c r="T12" s="2" t="n">
        <v>15.425</v>
      </c>
      <c r="U12" s="56">
        <f>(COS(RADIANS(R12))*T12)</f>
        <v/>
      </c>
      <c r="V12" s="57">
        <f>(SIN(RADIANS(R12))*T12)</f>
        <v/>
      </c>
      <c r="W12" s="149">
        <f>ABS(U12)</f>
        <v/>
      </c>
      <c r="X12" s="149">
        <f>ABS(V12)</f>
        <v/>
      </c>
      <c r="Y12" s="56">
        <f>($U$20/$W$20)*ABS(U12)</f>
        <v/>
      </c>
      <c r="Z12" s="58">
        <f>($V$20/$X$20)*ABS(V12)</f>
        <v/>
      </c>
      <c r="AA12" s="149">
        <f>U12-Y12</f>
        <v/>
      </c>
      <c r="AB12" s="149">
        <f>V12-Z12</f>
        <v/>
      </c>
      <c r="AC12" s="56">
        <f>AC11+AA12</f>
        <v/>
      </c>
      <c r="AD12" s="57">
        <f>AD11+AB12</f>
        <v/>
      </c>
      <c r="AE12" s="38" t="inlineStr">
        <is>
          <t>V10</t>
        </is>
      </c>
    </row>
    <row r="13">
      <c r="A13" s="38" t="inlineStr">
        <is>
          <t>V10</t>
        </is>
      </c>
      <c r="B13" s="38" t="inlineStr">
        <is>
          <t>TT4</t>
        </is>
      </c>
      <c r="C13" s="48" t="n">
        <v>299</v>
      </c>
      <c r="D13" s="49" t="n">
        <v>18</v>
      </c>
      <c r="E13" s="49" t="n">
        <v>51</v>
      </c>
      <c r="F13" s="41">
        <f>C13+(D13/60)+(E13/3600)</f>
        <v/>
      </c>
      <c r="G13" s="42">
        <f>$F$27</f>
        <v/>
      </c>
      <c r="H13" s="43">
        <f>INT(G13)</f>
        <v/>
      </c>
      <c r="I13" s="43">
        <f>INT((G13-H13)*60)</f>
        <v/>
      </c>
      <c r="J13" s="44">
        <f>(((G13-H13)*60-I13)*60)</f>
        <v/>
      </c>
      <c r="K13" s="131">
        <f>INT(N13)</f>
        <v/>
      </c>
      <c r="L13" s="131">
        <f>INT((N13-K13)*60)</f>
        <v/>
      </c>
      <c r="M13" s="131">
        <f>((N13-K13)*60-L13)*60</f>
        <v/>
      </c>
      <c r="N13" s="46">
        <f>F13-G13</f>
        <v/>
      </c>
      <c r="O13" s="131">
        <f>INT(R13)</f>
        <v/>
      </c>
      <c r="P13" s="43">
        <f>INT((R13-O13)*60)</f>
        <v/>
      </c>
      <c r="Q13" s="47">
        <f>((R13-O13)*60-P13)*60</f>
        <v/>
      </c>
      <c r="R13" s="44">
        <f>MOD(S13,360)</f>
        <v/>
      </c>
      <c r="S13" s="37">
        <f>IF(R12&gt;180,R12-180+N13,R12+180+N13)</f>
        <v/>
      </c>
      <c r="T13" s="50" t="n"/>
      <c r="U13" s="56" t="n"/>
      <c r="V13" s="57" t="n"/>
      <c r="W13" s="149" t="n"/>
      <c r="X13" s="149" t="n"/>
      <c r="Y13" s="56" t="n"/>
      <c r="Z13" s="58" t="n"/>
      <c r="AA13" s="149" t="n"/>
      <c r="AB13" s="149" t="n"/>
      <c r="AC13" s="42" t="n"/>
      <c r="AD13" s="44" t="n"/>
      <c r="AE13" s="38" t="n"/>
    </row>
    <row r="14">
      <c r="A14" s="38" t="n"/>
      <c r="B14" s="38" t="n"/>
      <c r="C14" s="59" t="n"/>
      <c r="D14" s="60" t="n"/>
      <c r="E14" s="60" t="n"/>
      <c r="F14" s="61" t="n"/>
      <c r="G14" s="42" t="n"/>
      <c r="H14" s="43" t="n"/>
      <c r="I14" s="43" t="n"/>
      <c r="J14" s="44" t="n"/>
      <c r="K14" s="131" t="n"/>
      <c r="L14" s="131" t="n"/>
      <c r="M14" s="131" t="n"/>
      <c r="N14" s="46" t="n"/>
      <c r="O14" s="131" t="n"/>
      <c r="P14" s="43" t="n"/>
      <c r="Q14" s="47" t="n"/>
      <c r="R14" s="44" t="n"/>
      <c r="S14" s="37" t="n"/>
      <c r="T14" s="62" t="n"/>
      <c r="U14" s="39" t="n"/>
      <c r="V14" s="63" t="n"/>
      <c r="W14" s="107" t="n"/>
      <c r="X14" s="107" t="n"/>
      <c r="Y14" s="56" t="n"/>
      <c r="Z14" s="58" t="n"/>
      <c r="AA14" s="149" t="n"/>
      <c r="AB14" s="149" t="n"/>
      <c r="AC14" s="42" t="n"/>
      <c r="AD14" s="44" t="n"/>
      <c r="AE14" s="38" t="n"/>
    </row>
    <row r="15">
      <c r="A15" s="38" t="n"/>
      <c r="B15" s="64" t="n"/>
      <c r="C15" s="39" t="n"/>
      <c r="D15" s="40" t="n"/>
      <c r="E15" s="40" t="n"/>
      <c r="F15" s="65" t="n"/>
      <c r="G15" s="39" t="n"/>
      <c r="H15" s="40" t="n"/>
      <c r="I15" s="40" t="n"/>
      <c r="J15" s="63" t="n"/>
      <c r="K15" s="66" t="n"/>
      <c r="L15" s="40" t="n"/>
      <c r="M15" s="40" t="n"/>
      <c r="N15" s="63" t="n"/>
      <c r="O15" s="66" t="n"/>
      <c r="P15" s="40" t="n"/>
      <c r="Q15" s="40" t="n"/>
      <c r="R15" s="63" t="n"/>
      <c r="S15" s="107" t="n"/>
      <c r="T15" s="64" t="n"/>
      <c r="U15" s="39" t="n"/>
      <c r="V15" s="63" t="n"/>
      <c r="W15" s="107" t="n"/>
      <c r="X15" s="107" t="n"/>
      <c r="Y15" s="39" t="n"/>
      <c r="Z15" s="65" t="n"/>
      <c r="AA15" s="107" t="n"/>
      <c r="AB15" s="107" t="n"/>
      <c r="AC15" s="39" t="n"/>
      <c r="AD15" s="63" t="n"/>
      <c r="AE15" s="64" t="n"/>
    </row>
    <row r="16">
      <c r="A16" s="64" t="n"/>
      <c r="B16" s="64" t="n"/>
      <c r="C16" s="39" t="n"/>
      <c r="D16" s="40" t="n"/>
      <c r="E16" s="40" t="n"/>
      <c r="F16" s="65" t="n"/>
      <c r="G16" s="39" t="n"/>
      <c r="H16" s="40" t="n"/>
      <c r="I16" s="40" t="n"/>
      <c r="J16" s="63" t="n"/>
      <c r="K16" s="66" t="n"/>
      <c r="L16" s="40" t="n"/>
      <c r="M16" s="40" t="n"/>
      <c r="N16" s="63" t="n"/>
      <c r="O16" s="66" t="n"/>
      <c r="P16" s="40" t="n"/>
      <c r="Q16" s="40" t="n"/>
      <c r="R16" s="63" t="n"/>
      <c r="S16" s="107" t="n"/>
      <c r="T16" s="64" t="n"/>
      <c r="U16" s="39" t="n"/>
      <c r="V16" s="63" t="n"/>
      <c r="W16" s="107" t="n"/>
      <c r="X16" s="107" t="n"/>
      <c r="Y16" s="39" t="n"/>
      <c r="Z16" s="65" t="n"/>
      <c r="AA16" s="107" t="n"/>
      <c r="AB16" s="107" t="n"/>
      <c r="AC16" s="39" t="n"/>
      <c r="AD16" s="63" t="n"/>
      <c r="AE16" s="64" t="n"/>
    </row>
    <row r="17">
      <c r="A17" s="64" t="n"/>
      <c r="B17" s="64" t="n"/>
      <c r="C17" s="39" t="n"/>
      <c r="D17" s="40" t="n"/>
      <c r="E17" s="40" t="n"/>
      <c r="F17" s="65" t="n"/>
      <c r="G17" s="39" t="n"/>
      <c r="H17" s="40" t="n"/>
      <c r="I17" s="40" t="n"/>
      <c r="J17" s="63" t="n"/>
      <c r="K17" s="66" t="n"/>
      <c r="L17" s="40" t="n"/>
      <c r="M17" s="40" t="n"/>
      <c r="N17" s="63" t="n"/>
      <c r="O17" s="66" t="n"/>
      <c r="P17" s="40" t="n"/>
      <c r="Q17" s="40" t="n"/>
      <c r="R17" s="63" t="n"/>
      <c r="S17" s="107" t="n"/>
      <c r="T17" s="64" t="n"/>
      <c r="U17" s="39" t="n"/>
      <c r="V17" s="63" t="n"/>
      <c r="W17" s="107" t="n"/>
      <c r="X17" s="107" t="n"/>
      <c r="Y17" s="39" t="n"/>
      <c r="Z17" s="65" t="n"/>
      <c r="AA17" s="107" t="n"/>
      <c r="AB17" s="107" t="n"/>
      <c r="AC17" s="39" t="n"/>
      <c r="AD17" s="63" t="n"/>
      <c r="AE17" s="64" t="n"/>
    </row>
    <row r="18">
      <c r="A18" s="64" t="n"/>
      <c r="B18" s="64" t="n"/>
      <c r="C18" s="39" t="n"/>
      <c r="D18" s="40" t="n"/>
      <c r="E18" s="40" t="n"/>
      <c r="F18" s="65" t="n"/>
      <c r="G18" s="39" t="n"/>
      <c r="H18" s="40" t="n"/>
      <c r="I18" s="40" t="n"/>
      <c r="J18" s="63" t="n"/>
      <c r="K18" s="66" t="n"/>
      <c r="L18" s="40" t="n"/>
      <c r="M18" s="40" t="n"/>
      <c r="N18" s="63" t="n"/>
      <c r="O18" s="66" t="n"/>
      <c r="P18" s="40" t="n"/>
      <c r="Q18" s="40" t="n"/>
      <c r="R18" s="63" t="n"/>
      <c r="S18" s="107" t="n"/>
      <c r="T18" s="64" t="n"/>
      <c r="U18" s="39" t="n"/>
      <c r="V18" s="63" t="n"/>
      <c r="W18" s="107" t="n"/>
      <c r="X18" s="107" t="n"/>
      <c r="Y18" s="39" t="n"/>
      <c r="Z18" s="65" t="n"/>
      <c r="AA18" s="107" t="n"/>
      <c r="AB18" s="107" t="n"/>
      <c r="AC18" s="39" t="n"/>
      <c r="AD18" s="63" t="n"/>
      <c r="AE18" s="64" t="n"/>
    </row>
    <row r="19" ht="15.75" customHeight="1" s="161" thickBot="1">
      <c r="A19" s="68" t="n"/>
      <c r="B19" s="68" t="n"/>
      <c r="C19" s="69" t="n"/>
      <c r="D19" s="70" t="n"/>
      <c r="E19" s="70" t="n"/>
      <c r="F19" s="71" t="n"/>
      <c r="G19" s="69" t="n"/>
      <c r="H19" s="70" t="n"/>
      <c r="I19" s="70" t="n"/>
      <c r="J19" s="72" t="n"/>
      <c r="K19" s="73" t="n"/>
      <c r="L19" s="70" t="n"/>
      <c r="M19" s="70" t="n"/>
      <c r="N19" s="72" t="n"/>
      <c r="O19" s="73" t="n"/>
      <c r="P19" s="70" t="n"/>
      <c r="Q19" s="70" t="n"/>
      <c r="R19" s="72" t="n"/>
      <c r="S19" s="74" t="n"/>
      <c r="T19" s="68" t="n"/>
      <c r="U19" s="69" t="n"/>
      <c r="V19" s="72" t="n"/>
      <c r="W19" s="74" t="n"/>
      <c r="X19" s="74" t="n"/>
      <c r="Y19" s="69" t="n"/>
      <c r="Z19" s="71" t="n"/>
      <c r="AA19" s="74" t="n"/>
      <c r="AB19" s="74" t="n"/>
      <c r="AC19" s="69" t="n"/>
      <c r="AD19" s="72" t="n"/>
      <c r="AE19" s="75" t="n"/>
    </row>
    <row r="20" ht="15.75" customHeight="1" s="161" thickBot="1">
      <c r="A20" s="81" t="inlineStr">
        <is>
          <t>SUMATORIA</t>
        </is>
      </c>
      <c r="B20" s="173" t="n"/>
      <c r="C20" s="78" t="n"/>
      <c r="D20" s="79" t="n"/>
      <c r="E20" s="80" t="n"/>
      <c r="F20" s="81">
        <f>SUM(F7:F14)</f>
        <v/>
      </c>
      <c r="G20" s="78" t="n"/>
      <c r="H20" s="79" t="n"/>
      <c r="I20" s="79" t="n"/>
      <c r="J20" s="82" t="n"/>
      <c r="K20" s="83" t="n"/>
      <c r="L20" s="79" t="n"/>
      <c r="M20" s="80" t="n"/>
      <c r="N20" s="81">
        <f>SUM(N7:N14)</f>
        <v/>
      </c>
      <c r="O20" s="83" t="n"/>
      <c r="P20" s="79" t="n"/>
      <c r="Q20" s="79" t="n"/>
      <c r="R20" s="82" t="n"/>
      <c r="S20" s="150" t="n"/>
      <c r="T20" s="85">
        <f>SUM(T7:T14)</f>
        <v/>
      </c>
      <c r="U20" s="86">
        <f>SUM(U7:U14)</f>
        <v/>
      </c>
      <c r="V20" s="87">
        <f>SUM(V7:V14)</f>
        <v/>
      </c>
      <c r="W20" s="87">
        <f>SUM(W7:W14)</f>
        <v/>
      </c>
      <c r="X20" s="87">
        <f>SUM(X7:X14)</f>
        <v/>
      </c>
      <c r="Y20" s="86">
        <f>SUM(Y7:Y14)</f>
        <v/>
      </c>
      <c r="Z20" s="88">
        <f>SUM(Z7:Z14)</f>
        <v/>
      </c>
      <c r="AA20" s="88" t="n"/>
      <c r="AB20" s="88" t="n"/>
      <c r="AC20" s="78" t="n"/>
      <c r="AD20" s="82" t="n"/>
      <c r="AE20" s="89" t="n"/>
    </row>
    <row r="21" ht="15.75" customHeight="1" s="161" thickBot="1">
      <c r="A21" s="99" t="n"/>
      <c r="B21" s="99" t="n"/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174" t="inlineStr">
        <is>
          <t xml:space="preserve">DIFERENCIAS O DELTAS  NS Y EW    </t>
        </is>
      </c>
      <c r="P21" s="163" t="n"/>
      <c r="Q21" s="163" t="n"/>
      <c r="R21" s="163" t="n"/>
      <c r="S21" s="163" t="n"/>
      <c r="T21" s="164" t="n"/>
      <c r="U21" s="93">
        <f>U20</f>
        <v/>
      </c>
      <c r="V21" s="94">
        <f>V20</f>
        <v/>
      </c>
      <c r="W21" s="95" t="n"/>
      <c r="X21" s="95" t="n"/>
      <c r="Y21" s="95" t="n"/>
      <c r="Z21" s="99" t="n"/>
      <c r="AA21" s="99" t="n"/>
      <c r="AB21" s="99" t="n"/>
      <c r="AC21" s="99" t="n"/>
      <c r="AD21" s="99" t="n"/>
      <c r="AE21" s="99" t="n"/>
    </row>
    <row r="22" ht="15.75" customHeight="1" s="161" thickBot="1">
      <c r="A22" s="96" t="inlineStr">
        <is>
          <t>N. DE VERTICES</t>
        </is>
      </c>
      <c r="B22" s="165" t="n"/>
      <c r="C22" s="96" t="n">
        <v>6</v>
      </c>
      <c r="D22" s="163" t="n"/>
      <c r="E22" s="163" t="n"/>
      <c r="F22" s="165" t="n"/>
      <c r="G22" s="99" t="n"/>
      <c r="H22" s="99" t="n"/>
      <c r="I22" s="99" t="n"/>
      <c r="J22" s="99" t="n"/>
      <c r="K22" s="99" t="n"/>
      <c r="L22" s="99" t="n"/>
      <c r="M22" s="99" t="n"/>
      <c r="N22" s="99" t="n"/>
      <c r="O22" s="175" t="inlineStr">
        <is>
          <t>SUMA DE PROYECIONES N+S Y E+W</t>
        </is>
      </c>
      <c r="P22" s="176" t="n"/>
      <c r="Q22" s="176" t="n"/>
      <c r="R22" s="176" t="n"/>
      <c r="S22" s="176" t="n"/>
      <c r="T22" s="177" t="n"/>
      <c r="U22" s="103">
        <f>SUM(ABS(U7)+ABS(U8)+ABS(U9)+ABS(U10)+ABS(U11)+ABS(U12)+ABS(U13)+ABS(U14)+ABS(U15)+ABS(U16)+ABS(U17)+ABS(U18)+ABS(U19))</f>
        <v/>
      </c>
      <c r="V22" s="104">
        <f>SUM(ABS(V7)+ABS(V8)+ABS(V9)+ABS(V10)+ABS(V11)+ABS(V12)+ABS(V13)+ABS(V14)+ABS(V15)+ABS(V16)+ABS(V17)+ABS(V18)+ABS(V19))</f>
        <v/>
      </c>
      <c r="W22" s="95" t="n"/>
      <c r="X22" s="95" t="n"/>
      <c r="Y22" s="95" t="n"/>
      <c r="Z22" s="81" t="inlineStr">
        <is>
          <t>COORDENADAS</t>
        </is>
      </c>
      <c r="AA22" s="184" t="n"/>
      <c r="AB22" s="173" t="n"/>
      <c r="AE22" s="99" t="n"/>
    </row>
    <row r="23">
      <c r="A23" s="64" t="inlineStr">
        <is>
          <t>TIPO DE ANGULO</t>
        </is>
      </c>
      <c r="B23" s="177" t="n"/>
      <c r="C23" s="64" t="inlineStr">
        <is>
          <t>I</t>
        </is>
      </c>
      <c r="D23" s="176" t="n"/>
      <c r="E23" s="176" t="n"/>
      <c r="F23" s="177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175" t="inlineStr">
        <is>
          <t xml:space="preserve">CORECCION UNITARIA  PARA LAS NS Y EW </t>
        </is>
      </c>
      <c r="P23" s="176" t="n"/>
      <c r="Q23" s="176" t="n"/>
      <c r="R23" s="176" t="n"/>
      <c r="S23" s="176" t="n"/>
      <c r="T23" s="177" t="n"/>
      <c r="U23" s="108">
        <f>U21/U22</f>
        <v/>
      </c>
      <c r="V23" s="109">
        <f>V21/V22</f>
        <v/>
      </c>
      <c r="W23" s="110" t="n"/>
      <c r="X23" s="110" t="n"/>
      <c r="Y23" s="110" t="n"/>
      <c r="Z23" s="59" t="inlineStr">
        <is>
          <t>PTO</t>
        </is>
      </c>
      <c r="AA23" s="60" t="inlineStr">
        <is>
          <t>N</t>
        </is>
      </c>
      <c r="AB23" s="156" t="inlineStr">
        <is>
          <t>E</t>
        </is>
      </c>
      <c r="AE23" s="99" t="n"/>
    </row>
    <row r="24" ht="15.75" customHeight="1" s="161" thickBot="1">
      <c r="A24" s="111" t="inlineStr">
        <is>
          <t>SUMA DE ANG. OBSSERVADOS</t>
        </is>
      </c>
      <c r="B24" s="178" t="n"/>
      <c r="C24" s="42">
        <f>INT(F24)</f>
        <v/>
      </c>
      <c r="D24" s="43">
        <f>INT((F24-C24)*60)</f>
        <v/>
      </c>
      <c r="E24" s="113">
        <f>((F24-C24)*60-D24)*60</f>
        <v/>
      </c>
      <c r="F24" s="44">
        <f>F20</f>
        <v/>
      </c>
      <c r="G24" s="132" t="n"/>
      <c r="H24" s="132" t="n"/>
      <c r="I24" s="132" t="n"/>
      <c r="J24" s="132" t="n"/>
      <c r="K24" s="99" t="n"/>
      <c r="L24" s="99" t="n"/>
      <c r="M24" s="99" t="n"/>
      <c r="N24" s="99" t="n"/>
      <c r="O24" s="179" t="inlineStr">
        <is>
          <t xml:space="preserve">ERROR DE CIERRE DE LA POLIGONAL  </t>
        </is>
      </c>
      <c r="P24" s="180" t="n"/>
      <c r="Q24" s="180" t="n"/>
      <c r="R24" s="180" t="n"/>
      <c r="S24" s="180" t="n"/>
      <c r="T24" s="181" t="n"/>
      <c r="U24" s="118">
        <f>(SQRT(POWER(U20,2)+POWER(V20,2)))</f>
        <v/>
      </c>
      <c r="V24" s="119" t="n"/>
      <c r="W24" s="95" t="n"/>
      <c r="X24" s="95" t="n"/>
      <c r="Y24" s="95" t="n"/>
      <c r="Z24" s="39" t="inlineStr">
        <is>
          <t>CN-1</t>
        </is>
      </c>
      <c r="AA24" s="43" t="n">
        <v>100299.316</v>
      </c>
      <c r="AB24" s="44" t="n">
        <v>101340.277</v>
      </c>
      <c r="AE24" s="99" t="n"/>
    </row>
    <row r="25" ht="15.75" customHeight="1" s="161" thickBot="1">
      <c r="A25" s="182" t="inlineStr">
        <is>
          <t>SUMA DE ANG. TEORICOS</t>
        </is>
      </c>
      <c r="B25" s="177" t="n"/>
      <c r="C25" s="42">
        <f>INT(F25)</f>
        <v/>
      </c>
      <c r="D25" s="43">
        <f>INT((F25-C25)*60)</f>
        <v/>
      </c>
      <c r="E25" s="113">
        <f>((F25-C25)*60-D25)*60</f>
        <v/>
      </c>
      <c r="F25" s="44">
        <f>IF(C23="E",(C22+2)*180,((C22-2)*180)+360)</f>
        <v/>
      </c>
      <c r="G25" s="132" t="n"/>
      <c r="H25" s="132" t="n"/>
      <c r="I25" s="132" t="n"/>
      <c r="J25" s="132" t="n"/>
      <c r="K25" s="99" t="n"/>
      <c r="L25" s="99" t="n"/>
      <c r="M25" s="99" t="n"/>
      <c r="N25" s="99" t="n"/>
      <c r="O25" s="183" t="inlineStr">
        <is>
          <t xml:space="preserve">                    PRECISION                                                1 :</t>
        </is>
      </c>
      <c r="P25" s="184" t="n"/>
      <c r="Q25" s="184" t="n"/>
      <c r="R25" s="184" t="n"/>
      <c r="S25" s="184" t="n"/>
      <c r="T25" s="173" t="n"/>
      <c r="U25" s="185">
        <f>MROUND(T20/U24,1000)</f>
        <v/>
      </c>
      <c r="V25" s="173" t="n"/>
      <c r="W25" s="127" t="n"/>
      <c r="X25" s="127" t="n"/>
      <c r="Y25" s="127" t="n"/>
      <c r="Z25" s="128" t="inlineStr">
        <is>
          <t>GR-05</t>
        </is>
      </c>
      <c r="AA25" s="20" t="n">
        <v>100320.332</v>
      </c>
      <c r="AB25" s="21" t="n">
        <v>101342.854</v>
      </c>
      <c r="AE25" s="99" t="n"/>
    </row>
    <row r="26">
      <c r="A26" s="64" t="inlineStr">
        <is>
          <t>ERROR EN ÁNGULO</t>
        </is>
      </c>
      <c r="B26" s="177" t="n"/>
      <c r="C26" s="42">
        <f>ROUNDDOWN(F26,0)&amp;"°"&amp;ROUNDDOWN((F26-ROUNDDOWN(F26,0))*60,0)&amp;"'"&amp;(ROUNDDOWN((((F26-ROUNDDOWN(F26,0))*60)-(ROUNDDOWN(((F26-ROUNDDOWN(F26,0))*60),0)))*60,2))&amp;"''"</f>
        <v/>
      </c>
      <c r="D26" s="176" t="n"/>
      <c r="E26" s="178" t="n"/>
      <c r="F26" s="44">
        <f>F24-F25</f>
        <v/>
      </c>
      <c r="G26" s="132" t="n"/>
      <c r="H26" s="132" t="n"/>
      <c r="I26" s="132" t="n"/>
      <c r="J26" s="132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132" t="n"/>
      <c r="T26" s="132" t="n"/>
      <c r="U26" s="99" t="n"/>
      <c r="V26" s="99" t="n"/>
      <c r="W26" s="99" t="n"/>
      <c r="X26" s="99" t="n"/>
      <c r="Y26" s="99" t="n"/>
      <c r="Z26" s="99" t="n"/>
      <c r="AA26" s="99" t="n"/>
      <c r="AB26" s="99" t="n"/>
      <c r="AC26" s="99" t="n"/>
      <c r="AD26" s="99" t="n"/>
      <c r="AE26" s="99" t="n"/>
    </row>
    <row r="27" ht="15.75" customHeight="1" s="161" thickBot="1">
      <c r="A27" s="75" t="inlineStr">
        <is>
          <t>CORR. ANGULAR</t>
        </is>
      </c>
      <c r="B27" s="181" t="n"/>
      <c r="C27" s="17">
        <f>ROUNDDOWN(F27,0)&amp;"°"&amp;ROUNDDOWN((F27-ROUNDDOWN(F27,0))*60,0)&amp;"'"&amp;(ROUNDDOWN((((F27-ROUNDDOWN(F27,0))*60)-(ROUNDDOWN(((F27-ROUNDDOWN(F27,0))*60),0)))*60,2))&amp;"''"</f>
        <v/>
      </c>
      <c r="D27" s="180" t="n"/>
      <c r="E27" s="186" t="n"/>
      <c r="F27" s="21">
        <f>F26/(C22+1)</f>
        <v/>
      </c>
      <c r="G27" s="132" t="n"/>
      <c r="H27" s="132" t="n"/>
      <c r="I27" s="132" t="n"/>
      <c r="J27" s="132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132" t="n"/>
      <c r="U27" s="99" t="n"/>
      <c r="V27" s="99" t="n"/>
      <c r="W27" s="99" t="n"/>
      <c r="X27" s="99" t="n"/>
      <c r="Y27" s="99" t="n"/>
      <c r="Z27" s="99" t="n"/>
      <c r="AA27" s="99" t="n"/>
      <c r="AB27" s="99" t="n"/>
      <c r="AC27" s="99" t="n"/>
      <c r="AD27" s="99" t="n"/>
      <c r="AE27" s="99" t="n"/>
    </row>
  </sheetData>
  <mergeCells count="33">
    <mergeCell ref="W4:X4"/>
    <mergeCell ref="A24:B24"/>
    <mergeCell ref="Y4:Z4"/>
    <mergeCell ref="C23:F23"/>
    <mergeCell ref="Z22:AB22"/>
    <mergeCell ref="T4:T5"/>
    <mergeCell ref="G4:J4"/>
    <mergeCell ref="O22:T22"/>
    <mergeCell ref="O25:T25"/>
    <mergeCell ref="K4:N4"/>
    <mergeCell ref="O21:T21"/>
    <mergeCell ref="C27:E27"/>
    <mergeCell ref="A25:B25"/>
    <mergeCell ref="U25:V25"/>
    <mergeCell ref="T26:T27"/>
    <mergeCell ref="A27:B27"/>
    <mergeCell ref="B2:AD2"/>
    <mergeCell ref="AA4:AB4"/>
    <mergeCell ref="O4:S4"/>
    <mergeCell ref="AC4:AD4"/>
    <mergeCell ref="A26:B26"/>
    <mergeCell ref="A4:A5"/>
    <mergeCell ref="O23:T23"/>
    <mergeCell ref="C4:F4"/>
    <mergeCell ref="A23:B23"/>
    <mergeCell ref="A22:B22"/>
    <mergeCell ref="C22:F22"/>
    <mergeCell ref="A20:B20"/>
    <mergeCell ref="O24:T24"/>
    <mergeCell ref="B4:B5"/>
    <mergeCell ref="AE4:AE5"/>
    <mergeCell ref="C26:E26"/>
    <mergeCell ref="U4:V4"/>
  </mergeCells>
  <pageMargins left="0.7" right="0.7" top="0.75" bottom="0.75" header="0.3" footer="0.3"/>
  <pageSetup orientation="landscape" paperSize="9" scale="36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B27"/>
  <sheetViews>
    <sheetView tabSelected="1" topLeftCell="D1" zoomScale="70" zoomScaleNormal="70" workbookViewId="0">
      <selection activeCell="N18" sqref="N18"/>
    </sheetView>
  </sheetViews>
  <sheetFormatPr baseColWidth="10" defaultRowHeight="15"/>
  <sheetData>
    <row r="1" ht="15.75" customHeight="1" s="161" thickBot="1"/>
    <row r="2" ht="15.75" customHeight="1" s="161" thickBot="1">
      <c r="B2" s="189" t="inlineStr">
        <is>
          <t>AJUSTE DE POLIGONAL CERRADA POR EL METODO DE BRUJULA</t>
        </is>
      </c>
      <c r="C2" s="184" t="n"/>
      <c r="D2" s="184" t="n"/>
      <c r="E2" s="184" t="n"/>
      <c r="F2" s="184" t="n"/>
      <c r="G2" s="184" t="n"/>
      <c r="H2" s="184" t="n"/>
      <c r="I2" s="184" t="n"/>
      <c r="J2" s="184" t="n"/>
      <c r="K2" s="184" t="n"/>
      <c r="L2" s="184" t="n"/>
      <c r="M2" s="184" t="n"/>
      <c r="N2" s="184" t="n"/>
      <c r="O2" s="184" t="n"/>
      <c r="P2" s="184" t="n"/>
      <c r="Q2" s="184" t="n"/>
      <c r="R2" s="184" t="n"/>
      <c r="S2" s="184" t="n"/>
      <c r="T2" s="184" t="n"/>
      <c r="U2" s="184" t="n"/>
      <c r="V2" s="184" t="n"/>
      <c r="W2" s="184" t="n"/>
      <c r="X2" s="184" t="n"/>
      <c r="Y2" s="184" t="n"/>
      <c r="Z2" s="173" t="n"/>
    </row>
    <row r="3" ht="15.75" customHeight="1" s="161" thickBot="1"/>
    <row r="4">
      <c r="A4" s="162" t="inlineStr">
        <is>
          <t>DELTA</t>
        </is>
      </c>
      <c r="B4" s="152" t="inlineStr">
        <is>
          <t>PUNTO</t>
        </is>
      </c>
      <c r="C4" s="27" t="inlineStr">
        <is>
          <t>ANG. HOR</t>
        </is>
      </c>
      <c r="D4" s="163" t="n"/>
      <c r="E4" s="163" t="n"/>
      <c r="F4" s="164" t="n"/>
      <c r="G4" s="31" t="inlineStr">
        <is>
          <t>CORR</t>
        </is>
      </c>
      <c r="H4" s="163" t="n"/>
      <c r="I4" s="163" t="n"/>
      <c r="J4" s="165" t="n"/>
      <c r="K4" s="27" t="inlineStr">
        <is>
          <t>ANG. HOR. CORREGIDO</t>
        </is>
      </c>
      <c r="L4" s="163" t="n"/>
      <c r="M4" s="163" t="n"/>
      <c r="N4" s="164" t="n"/>
      <c r="O4" s="10" t="inlineStr">
        <is>
          <t>AZIMUT</t>
        </is>
      </c>
      <c r="P4" s="163" t="n"/>
      <c r="Q4" s="163" t="n"/>
      <c r="R4" s="163" t="n"/>
      <c r="S4" s="164" t="n"/>
      <c r="T4" s="27" t="inlineStr">
        <is>
          <t>DIST</t>
        </is>
      </c>
      <c r="U4" s="31" t="inlineStr">
        <is>
          <t>PROYECCIONES</t>
        </is>
      </c>
      <c r="V4" s="165" t="n"/>
      <c r="W4" s="31" t="inlineStr">
        <is>
          <t>PROY CORREGIDAS</t>
        </is>
      </c>
      <c r="X4" s="165" t="n"/>
      <c r="Y4" s="31" t="inlineStr">
        <is>
          <t>COORDENADAS</t>
        </is>
      </c>
      <c r="Z4" s="165" t="n"/>
      <c r="AA4" s="27" t="inlineStr">
        <is>
          <t>PUNTO</t>
        </is>
      </c>
    </row>
    <row r="5" ht="15.75" customHeight="1" s="161" thickBot="1">
      <c r="A5" s="166" t="n"/>
      <c r="B5" s="167" t="n"/>
      <c r="C5" s="17" t="inlineStr">
        <is>
          <t>G</t>
        </is>
      </c>
      <c r="D5" s="20" t="inlineStr">
        <is>
          <t>M</t>
        </is>
      </c>
      <c r="E5" s="20" t="inlineStr">
        <is>
          <t>S</t>
        </is>
      </c>
      <c r="F5" s="21" t="inlineStr">
        <is>
          <t xml:space="preserve">DEC </t>
        </is>
      </c>
      <c r="G5" s="17" t="inlineStr">
        <is>
          <t>DEC</t>
        </is>
      </c>
      <c r="H5" s="20" t="inlineStr">
        <is>
          <t>G</t>
        </is>
      </c>
      <c r="I5" s="20" t="inlineStr">
        <is>
          <t>M</t>
        </is>
      </c>
      <c r="J5" s="21" t="inlineStr">
        <is>
          <t>S</t>
        </is>
      </c>
      <c r="K5" s="135" t="inlineStr">
        <is>
          <t>G</t>
        </is>
      </c>
      <c r="L5" s="136" t="inlineStr">
        <is>
          <t>M</t>
        </is>
      </c>
      <c r="M5" s="136" t="inlineStr">
        <is>
          <t>S</t>
        </is>
      </c>
      <c r="N5" s="24" t="inlineStr">
        <is>
          <t>DEC</t>
        </is>
      </c>
      <c r="O5" s="137" t="inlineStr">
        <is>
          <t>G</t>
        </is>
      </c>
      <c r="P5" s="20" t="inlineStr">
        <is>
          <t>M</t>
        </is>
      </c>
      <c r="Q5" s="20" t="inlineStr">
        <is>
          <t>S</t>
        </is>
      </c>
      <c r="R5" s="21" t="inlineStr">
        <is>
          <t>DEC</t>
        </is>
      </c>
      <c r="S5" s="136" t="inlineStr">
        <is>
          <t>DEC</t>
        </is>
      </c>
      <c r="T5" s="168" t="n"/>
      <c r="U5" s="17" t="inlineStr">
        <is>
          <t>N-S</t>
        </is>
      </c>
      <c r="V5" s="21" t="inlineStr">
        <is>
          <t>E-W</t>
        </is>
      </c>
      <c r="W5" s="17" t="inlineStr">
        <is>
          <t>N-S</t>
        </is>
      </c>
      <c r="X5" s="21" t="inlineStr">
        <is>
          <t>E-W</t>
        </is>
      </c>
      <c r="Y5" s="52" t="inlineStr">
        <is>
          <t>N</t>
        </is>
      </c>
      <c r="Z5" s="53" t="inlineStr">
        <is>
          <t>E</t>
        </is>
      </c>
      <c r="AA5" s="168" t="n"/>
    </row>
    <row r="6" ht="15.75" customHeight="1" s="161" thickBot="1">
      <c r="A6" s="27" t="n"/>
      <c r="B6" s="27" t="inlineStr">
        <is>
          <t>TT4</t>
        </is>
      </c>
      <c r="C6" s="96" t="n">
        <v>0</v>
      </c>
      <c r="D6" s="98" t="n">
        <v>0</v>
      </c>
      <c r="E6" s="98" t="n">
        <v>0</v>
      </c>
      <c r="F6" s="30" t="n"/>
      <c r="G6" s="31" t="n"/>
      <c r="H6" s="32" t="n"/>
      <c r="I6" s="32" t="n"/>
      <c r="J6" s="33" t="n"/>
      <c r="K6" s="34" t="n"/>
      <c r="L6" s="34" t="n"/>
      <c r="M6" s="34" t="n"/>
      <c r="N6" s="35" t="n"/>
      <c r="O6" s="3" t="n">
        <v>330</v>
      </c>
      <c r="P6" s="4" t="n">
        <v>35</v>
      </c>
      <c r="Q6" s="5" t="n">
        <v>57.23</v>
      </c>
      <c r="R6" s="36">
        <f>O6+(P6/60)+(Q6/3600)</f>
        <v/>
      </c>
      <c r="S6" s="37" t="n"/>
      <c r="T6" s="27" t="n"/>
      <c r="U6" s="31" t="n"/>
      <c r="V6" s="33" t="n"/>
      <c r="W6" s="31" t="n"/>
      <c r="X6" s="55" t="n"/>
      <c r="Y6" s="148" t="n">
        <v>100135.666</v>
      </c>
      <c r="Z6" s="148" t="n">
        <v>101440.525</v>
      </c>
      <c r="AA6" s="27" t="inlineStr">
        <is>
          <t>V10</t>
        </is>
      </c>
      <c r="AB6" s="132" t="n"/>
    </row>
    <row r="7">
      <c r="A7" s="27" t="inlineStr">
        <is>
          <t>V10</t>
        </is>
      </c>
      <c r="B7" s="38" t="inlineStr">
        <is>
          <t>D1</t>
        </is>
      </c>
      <c r="C7" s="39" t="n">
        <v>211</v>
      </c>
      <c r="D7" s="40" t="n">
        <v>15</v>
      </c>
      <c r="E7" s="40" t="n">
        <v>7</v>
      </c>
      <c r="F7" s="41">
        <f>C7+(D7/60)+(E7/3600)</f>
        <v/>
      </c>
      <c r="G7" s="42">
        <f>$F$27</f>
        <v/>
      </c>
      <c r="H7" s="43">
        <f>INT(G7)</f>
        <v/>
      </c>
      <c r="I7" s="43">
        <f>INT((G7-H7)*60)</f>
        <v/>
      </c>
      <c r="J7" s="44">
        <f>(((G7-H7)*60-I7)*60)</f>
        <v/>
      </c>
      <c r="K7" s="131">
        <f>INT(N7)</f>
        <v/>
      </c>
      <c r="L7" s="131">
        <f>INT((N7-K7)*60)</f>
        <v/>
      </c>
      <c r="M7" s="131">
        <f>((N7-K7)*60-L7)*60</f>
        <v/>
      </c>
      <c r="N7" s="46">
        <f>F7-G7</f>
        <v/>
      </c>
      <c r="O7" s="131">
        <f>INT(R7)</f>
        <v/>
      </c>
      <c r="P7" s="43">
        <f>INT((R7-O7)*60)</f>
        <v/>
      </c>
      <c r="Q7" s="47">
        <f>((R7-O7)*60-P7)*60</f>
        <v/>
      </c>
      <c r="R7" s="44">
        <f>MOD(S7,360)</f>
        <v/>
      </c>
      <c r="S7" s="37">
        <f>R6+N7</f>
        <v/>
      </c>
      <c r="T7" s="2" t="n">
        <v>20.744</v>
      </c>
      <c r="U7" s="56">
        <f>(COS(RADIANS(R7))*T7)</f>
        <v/>
      </c>
      <c r="V7" s="57">
        <f>(SIN(RADIANS(R7))*T7)</f>
        <v/>
      </c>
      <c r="W7" s="56">
        <f>((-($U$20/$T$20)*T7)+U7)</f>
        <v/>
      </c>
      <c r="X7" s="58">
        <f>((-($V$20/$T$20)*T7)+V7)</f>
        <v/>
      </c>
      <c r="Y7" s="56">
        <f>Y6+W7</f>
        <v/>
      </c>
      <c r="Z7" s="57">
        <f>Z6+X7</f>
        <v/>
      </c>
      <c r="AA7" s="38">
        <f>A8</f>
        <v/>
      </c>
      <c r="AB7" s="132" t="n"/>
    </row>
    <row r="8">
      <c r="A8" s="38" t="inlineStr">
        <is>
          <t>D1</t>
        </is>
      </c>
      <c r="B8" s="38" t="inlineStr">
        <is>
          <t>D2</t>
        </is>
      </c>
      <c r="C8" s="39" t="n">
        <v>124</v>
      </c>
      <c r="D8" s="40" t="n">
        <v>29</v>
      </c>
      <c r="E8" s="40" t="n">
        <v>42</v>
      </c>
      <c r="F8" s="41">
        <f>C8+(D8/60)+(E8/3600)</f>
        <v/>
      </c>
      <c r="G8" s="42">
        <f>$F$27</f>
        <v/>
      </c>
      <c r="H8" s="43">
        <f>INT(G8)</f>
        <v/>
      </c>
      <c r="I8" s="43">
        <f>INT((G8-H8)*60)</f>
        <v/>
      </c>
      <c r="J8" s="44">
        <f>(((G8-H8)*60-I8)*60)</f>
        <v/>
      </c>
      <c r="K8" s="131">
        <f>INT(N8)</f>
        <v/>
      </c>
      <c r="L8" s="131">
        <f>INT((N8-K8)*60)</f>
        <v/>
      </c>
      <c r="M8" s="131">
        <f>((N8-K8)*60-L8)*60</f>
        <v/>
      </c>
      <c r="N8" s="46">
        <f>F8-G8</f>
        <v/>
      </c>
      <c r="O8" s="131">
        <f>INT(R8)</f>
        <v/>
      </c>
      <c r="P8" s="43">
        <f>INT((R8-O8)*60)</f>
        <v/>
      </c>
      <c r="Q8" s="47">
        <f>((R8-O8)*60-P8)*60</f>
        <v/>
      </c>
      <c r="R8" s="44">
        <f>MOD(S8,360)</f>
        <v/>
      </c>
      <c r="S8" s="37">
        <f>IF(R7&gt;180,R7-180+N8,R7+180+N8)</f>
        <v/>
      </c>
      <c r="T8" s="2" t="n">
        <v>11.606</v>
      </c>
      <c r="U8" s="56">
        <f>(COS(RADIANS(R8))*T8)</f>
        <v/>
      </c>
      <c r="V8" s="57">
        <f>(SIN(RADIANS(R8))*T8)</f>
        <v/>
      </c>
      <c r="W8" s="56">
        <f>((-($U$20/$T$20)*T8)+U8)</f>
        <v/>
      </c>
      <c r="X8" s="58">
        <f>((-($V$20/$T$20)*T8)+V8)</f>
        <v/>
      </c>
      <c r="Y8" s="56">
        <f>Y7+W8</f>
        <v/>
      </c>
      <c r="Z8" s="57">
        <f>Z7+X8</f>
        <v/>
      </c>
      <c r="AA8" s="38">
        <f>A9</f>
        <v/>
      </c>
      <c r="AB8" s="132" t="n"/>
    </row>
    <row r="9">
      <c r="A9" s="38" t="inlineStr">
        <is>
          <t>D2</t>
        </is>
      </c>
      <c r="B9" s="38" t="inlineStr">
        <is>
          <t>D3</t>
        </is>
      </c>
      <c r="C9" s="39" t="n">
        <v>148</v>
      </c>
      <c r="D9" s="40" t="n">
        <v>41</v>
      </c>
      <c r="E9" s="40" t="n">
        <v>41</v>
      </c>
      <c r="F9" s="41">
        <f>C9+(D9/60)+(E9/3600)</f>
        <v/>
      </c>
      <c r="G9" s="42">
        <f>$F$27</f>
        <v/>
      </c>
      <c r="H9" s="43">
        <f>INT(G9)</f>
        <v/>
      </c>
      <c r="I9" s="43">
        <f>INT((G9-H9)*60)</f>
        <v/>
      </c>
      <c r="J9" s="44">
        <f>(((G9-H9)*60-I9)*60)</f>
        <v/>
      </c>
      <c r="K9" s="131">
        <f>INT(N9)</f>
        <v/>
      </c>
      <c r="L9" s="131">
        <f>INT((N9-K9)*60)</f>
        <v/>
      </c>
      <c r="M9" s="131">
        <f>((N9-K9)*60-L9)*60</f>
        <v/>
      </c>
      <c r="N9" s="46">
        <f>F9-G9</f>
        <v/>
      </c>
      <c r="O9" s="131">
        <f>INT(R9)</f>
        <v/>
      </c>
      <c r="P9" s="43">
        <f>INT((R9-O9)*60)</f>
        <v/>
      </c>
      <c r="Q9" s="47">
        <f>((R9-O9)*60-P9)*60</f>
        <v/>
      </c>
      <c r="R9" s="44">
        <f>MOD(S9,360)</f>
        <v/>
      </c>
      <c r="S9" s="37">
        <f>IF(R8&gt;180,R8-180+N9,R8+180+N9)</f>
        <v/>
      </c>
      <c r="T9" s="2" t="n">
        <v>12.835</v>
      </c>
      <c r="U9" s="56">
        <f>(COS(RADIANS(R9))*T9)</f>
        <v/>
      </c>
      <c r="V9" s="57">
        <f>(SIN(RADIANS(R9))*T9)</f>
        <v/>
      </c>
      <c r="W9" s="56">
        <f>((-($U$20/$T$20)*T9)+U9)</f>
        <v/>
      </c>
      <c r="X9" s="58">
        <f>((-($V$20/$T$20)*T9)+V9)</f>
        <v/>
      </c>
      <c r="Y9" s="56">
        <f>Y8+W9</f>
        <v/>
      </c>
      <c r="Z9" s="57">
        <f>Z8+X9</f>
        <v/>
      </c>
      <c r="AA9" s="38">
        <f>A10</f>
        <v/>
      </c>
      <c r="AB9" s="132" t="n"/>
    </row>
    <row r="10">
      <c r="A10" s="38" t="inlineStr">
        <is>
          <t>D3</t>
        </is>
      </c>
      <c r="B10" s="38" t="inlineStr">
        <is>
          <t>D4</t>
        </is>
      </c>
      <c r="C10" s="39" t="n">
        <v>91</v>
      </c>
      <c r="D10" s="40" t="n">
        <v>1</v>
      </c>
      <c r="E10" s="40" t="n">
        <v>1</v>
      </c>
      <c r="F10" s="41">
        <f>C10+(D10/60)+(E10/3600)</f>
        <v/>
      </c>
      <c r="G10" s="42">
        <f>$F$27</f>
        <v/>
      </c>
      <c r="H10" s="43">
        <f>INT(G10)</f>
        <v/>
      </c>
      <c r="I10" s="43">
        <f>INT((G10-H10)*60)</f>
        <v/>
      </c>
      <c r="J10" s="44">
        <f>(((G10-H10)*60-I10)*60)</f>
        <v/>
      </c>
      <c r="K10" s="131">
        <f>INT(N10)</f>
        <v/>
      </c>
      <c r="L10" s="131">
        <f>INT((N10-K10)*60)</f>
        <v/>
      </c>
      <c r="M10" s="131">
        <f>((N10-K10)*60-L10)*60</f>
        <v/>
      </c>
      <c r="N10" s="46">
        <f>F10-G10</f>
        <v/>
      </c>
      <c r="O10" s="131">
        <f>INT(R10)</f>
        <v/>
      </c>
      <c r="P10" s="43">
        <f>INT((R10-O10)*60)</f>
        <v/>
      </c>
      <c r="Q10" s="47">
        <f>((R10-O10)*60-P10)*60</f>
        <v/>
      </c>
      <c r="R10" s="44">
        <f>MOD(S10,360)</f>
        <v/>
      </c>
      <c r="S10" s="37">
        <f>IF(R9&gt;180,R9-180+N10,R9+180+N10)</f>
        <v/>
      </c>
      <c r="T10" s="2" t="n">
        <v>36.985</v>
      </c>
      <c r="U10" s="56">
        <f>(COS(RADIANS(R10))*T10)</f>
        <v/>
      </c>
      <c r="V10" s="57">
        <f>(SIN(RADIANS(R10))*T10)</f>
        <v/>
      </c>
      <c r="W10" s="56">
        <f>((-($U$20/$T$20)*T10)+U10)</f>
        <v/>
      </c>
      <c r="X10" s="58">
        <f>((-($V$20/$T$20)*T10)+V10)</f>
        <v/>
      </c>
      <c r="Y10" s="56">
        <f>Y9+W10</f>
        <v/>
      </c>
      <c r="Z10" s="57">
        <f>Z9+X10</f>
        <v/>
      </c>
      <c r="AA10" s="38">
        <f>A11</f>
        <v/>
      </c>
    </row>
    <row r="11">
      <c r="A11" s="38" t="inlineStr">
        <is>
          <t>D4</t>
        </is>
      </c>
      <c r="B11" s="38" t="inlineStr">
        <is>
          <t>D5</t>
        </is>
      </c>
      <c r="C11" s="48" t="n">
        <v>100</v>
      </c>
      <c r="D11" s="49" t="n">
        <v>27</v>
      </c>
      <c r="E11" s="49" t="n">
        <v>43</v>
      </c>
      <c r="F11" s="41">
        <f>C11+(D11/60)+(E11/3600)</f>
        <v/>
      </c>
      <c r="G11" s="42">
        <f>$F$27</f>
        <v/>
      </c>
      <c r="H11" s="43">
        <f>INT(G11)</f>
        <v/>
      </c>
      <c r="I11" s="43">
        <f>INT((G11-H11)*60)</f>
        <v/>
      </c>
      <c r="J11" s="44">
        <f>(((G11-H11)*60-I11)*60)</f>
        <v/>
      </c>
      <c r="K11" s="131">
        <f>INT(N11)</f>
        <v/>
      </c>
      <c r="L11" s="131">
        <f>INT((N11-K11)*60)</f>
        <v/>
      </c>
      <c r="M11" s="131">
        <f>((N11-K11)*60-L11)*60</f>
        <v/>
      </c>
      <c r="N11" s="46">
        <f>F11-G11</f>
        <v/>
      </c>
      <c r="O11" s="131">
        <f>INT(R11)</f>
        <v/>
      </c>
      <c r="P11" s="43">
        <f>INT((R11-O11)*60)</f>
        <v/>
      </c>
      <c r="Q11" s="47">
        <f>((R11-O11)*60-P11)*60</f>
        <v/>
      </c>
      <c r="R11" s="44">
        <f>MOD(S11,360)</f>
        <v/>
      </c>
      <c r="S11" s="37">
        <f>IF(R10&gt;180,R10-180+N11,R10+180+N11)</f>
        <v/>
      </c>
      <c r="T11" s="2" t="n">
        <v>18.117</v>
      </c>
      <c r="U11" s="56">
        <f>(COS(RADIANS(R11))*T11)</f>
        <v/>
      </c>
      <c r="V11" s="57">
        <f>(SIN(RADIANS(R11))*T11)</f>
        <v/>
      </c>
      <c r="W11" s="56">
        <f>((-($U$20/$T$20)*T11)+U11)</f>
        <v/>
      </c>
      <c r="X11" s="58">
        <f>((-($V$20/$T$20)*T11)+V11)</f>
        <v/>
      </c>
      <c r="Y11" s="56">
        <f>Y10+W11</f>
        <v/>
      </c>
      <c r="Z11" s="57">
        <f>Z10+X11</f>
        <v/>
      </c>
      <c r="AA11" s="38">
        <f>A12</f>
        <v/>
      </c>
      <c r="AB11" s="132" t="n"/>
    </row>
    <row r="12">
      <c r="A12" s="38" t="inlineStr">
        <is>
          <t>D5</t>
        </is>
      </c>
      <c r="B12" s="38" t="inlineStr">
        <is>
          <t>V10</t>
        </is>
      </c>
      <c r="C12" s="48" t="n">
        <v>104</v>
      </c>
      <c r="D12" s="49" t="n">
        <v>46</v>
      </c>
      <c r="E12" s="49" t="n">
        <v>7</v>
      </c>
      <c r="F12" s="41">
        <f>C12+(D12/60)+(E12/3600)</f>
        <v/>
      </c>
      <c r="G12" s="42">
        <f>$F$27</f>
        <v/>
      </c>
      <c r="H12" s="43">
        <f>INT(G12)</f>
        <v/>
      </c>
      <c r="I12" s="43">
        <f>INT((G12-H12)*60)</f>
        <v/>
      </c>
      <c r="J12" s="44">
        <f>(((G12-H12)*60-I12)*60)</f>
        <v/>
      </c>
      <c r="K12" s="131">
        <f>INT(N12)</f>
        <v/>
      </c>
      <c r="L12" s="131">
        <f>INT((N12-K12)*60)</f>
        <v/>
      </c>
      <c r="M12" s="131">
        <f>((N12-K12)*60-L12)*60</f>
        <v/>
      </c>
      <c r="N12" s="46">
        <f>F12-G12</f>
        <v/>
      </c>
      <c r="O12" s="131">
        <f>INT(R12)</f>
        <v/>
      </c>
      <c r="P12" s="43">
        <f>INT((R12-O12)*60)</f>
        <v/>
      </c>
      <c r="Q12" s="47">
        <f>((R12-O12)*60-P12)*60</f>
        <v/>
      </c>
      <c r="R12" s="44">
        <f>MOD(S12,360)</f>
        <v/>
      </c>
      <c r="S12" s="37">
        <f>IF(R11&gt;180,R11-180+N12,R11+180+N12)</f>
        <v/>
      </c>
      <c r="T12" s="2" t="n">
        <v>15.425</v>
      </c>
      <c r="U12" s="56">
        <f>(COS(RADIANS(R12))*T12)</f>
        <v/>
      </c>
      <c r="V12" s="57">
        <f>(SIN(RADIANS(R12))*T12)</f>
        <v/>
      </c>
      <c r="W12" s="56">
        <f>((-($U$20/$T$20)*T12)+U12)</f>
        <v/>
      </c>
      <c r="X12" s="58">
        <f>((-($V$20/$T$20)*T12)+V12)</f>
        <v/>
      </c>
      <c r="Y12" s="56">
        <f>Y11+W12</f>
        <v/>
      </c>
      <c r="Z12" s="57">
        <f>Z11+X12</f>
        <v/>
      </c>
      <c r="AA12" s="38" t="inlineStr">
        <is>
          <t>V10</t>
        </is>
      </c>
      <c r="AB12" s="132" t="n"/>
    </row>
    <row r="13">
      <c r="A13" s="38" t="inlineStr">
        <is>
          <t>V10</t>
        </is>
      </c>
      <c r="B13" s="38" t="inlineStr">
        <is>
          <t>TT4</t>
        </is>
      </c>
      <c r="C13" s="48" t="n">
        <v>299</v>
      </c>
      <c r="D13" s="49" t="n">
        <v>18</v>
      </c>
      <c r="E13" s="49" t="n">
        <v>51</v>
      </c>
      <c r="F13" s="41">
        <f>C13+(D13/60)+(E13/3600)</f>
        <v/>
      </c>
      <c r="G13" s="42">
        <f>$F$27</f>
        <v/>
      </c>
      <c r="H13" s="43">
        <f>INT(G13)</f>
        <v/>
      </c>
      <c r="I13" s="43">
        <f>INT((G13-H13)*60)</f>
        <v/>
      </c>
      <c r="J13" s="44">
        <f>(((G13-H13)*60-I13)*60)</f>
        <v/>
      </c>
      <c r="K13" s="131">
        <f>INT(N13)</f>
        <v/>
      </c>
      <c r="L13" s="131">
        <f>INT((N13-K13)*60)</f>
        <v/>
      </c>
      <c r="M13" s="131">
        <f>((N13-K13)*60-L13)*60</f>
        <v/>
      </c>
      <c r="N13" s="46">
        <f>F13-G13</f>
        <v/>
      </c>
      <c r="O13" s="131">
        <f>INT(R13)</f>
        <v/>
      </c>
      <c r="P13" s="43">
        <f>INT((R13-O13)*60)</f>
        <v/>
      </c>
      <c r="Q13" s="47">
        <f>((R13-O13)*60-P13)*60</f>
        <v/>
      </c>
      <c r="R13" s="44">
        <f>MOD(S13,360)</f>
        <v/>
      </c>
      <c r="S13" s="37">
        <f>IF(R12&gt;180,R12-180+N13,R12+180+N13)</f>
        <v/>
      </c>
      <c r="T13" s="50" t="n"/>
      <c r="U13" s="56" t="n"/>
      <c r="V13" s="57" t="n"/>
      <c r="W13" s="56" t="n"/>
      <c r="X13" s="58" t="n"/>
      <c r="Y13" s="42" t="n"/>
      <c r="Z13" s="44" t="n"/>
      <c r="AA13" s="38" t="n"/>
      <c r="AB13" s="132" t="n"/>
    </row>
    <row r="14">
      <c r="A14" s="38" t="n"/>
      <c r="B14" s="38" t="n"/>
      <c r="C14" s="59" t="n"/>
      <c r="D14" s="60" t="n"/>
      <c r="E14" s="60" t="n"/>
      <c r="F14" s="61" t="n"/>
      <c r="G14" s="42" t="n"/>
      <c r="H14" s="43" t="n"/>
      <c r="I14" s="43" t="n"/>
      <c r="J14" s="44" t="n"/>
      <c r="K14" s="131" t="n"/>
      <c r="L14" s="131" t="n"/>
      <c r="M14" s="131" t="n"/>
      <c r="N14" s="46" t="n"/>
      <c r="O14" s="131" t="n"/>
      <c r="P14" s="43" t="n"/>
      <c r="Q14" s="47" t="n"/>
      <c r="R14" s="44" t="n"/>
      <c r="S14" s="37" t="n"/>
      <c r="T14" s="62" t="n"/>
      <c r="U14" s="39" t="n"/>
      <c r="V14" s="63" t="n"/>
      <c r="W14" s="56" t="n"/>
      <c r="X14" s="58" t="n"/>
      <c r="Y14" s="42" t="n"/>
      <c r="Z14" s="44" t="n"/>
      <c r="AA14" s="38" t="n"/>
    </row>
    <row r="15">
      <c r="A15" s="38" t="n"/>
      <c r="B15" s="64" t="n"/>
      <c r="C15" s="39" t="n"/>
      <c r="D15" s="40" t="n"/>
      <c r="E15" s="40" t="n"/>
      <c r="F15" s="65" t="n"/>
      <c r="G15" s="39" t="n"/>
      <c r="H15" s="40" t="n"/>
      <c r="I15" s="40" t="n"/>
      <c r="J15" s="63" t="n"/>
      <c r="K15" s="66" t="n"/>
      <c r="L15" s="40" t="n"/>
      <c r="M15" s="40" t="n"/>
      <c r="N15" s="63" t="n"/>
      <c r="O15" s="66" t="n"/>
      <c r="P15" s="40" t="n"/>
      <c r="Q15" s="40" t="n"/>
      <c r="R15" s="63" t="n"/>
      <c r="S15" s="107" t="n"/>
      <c r="T15" s="64" t="n"/>
      <c r="U15" s="39" t="n"/>
      <c r="V15" s="63" t="n"/>
      <c r="W15" s="39" t="n"/>
      <c r="X15" s="65" t="n"/>
      <c r="Y15" s="39" t="n"/>
      <c r="Z15" s="63" t="n"/>
      <c r="AA15" s="64" t="n"/>
    </row>
    <row r="16">
      <c r="A16" s="64" t="n"/>
      <c r="B16" s="64" t="n"/>
      <c r="C16" s="39" t="n"/>
      <c r="D16" s="40" t="n"/>
      <c r="E16" s="40" t="n"/>
      <c r="F16" s="65" t="n"/>
      <c r="G16" s="39" t="n"/>
      <c r="H16" s="40" t="n"/>
      <c r="I16" s="40" t="n"/>
      <c r="J16" s="63" t="n"/>
      <c r="K16" s="66" t="n"/>
      <c r="L16" s="40" t="n"/>
      <c r="M16" s="40" t="n"/>
      <c r="N16" s="63" t="n"/>
      <c r="O16" s="66" t="n"/>
      <c r="P16" s="40" t="n"/>
      <c r="Q16" s="40" t="n"/>
      <c r="R16" s="63" t="n"/>
      <c r="S16" s="107" t="n"/>
      <c r="T16" s="64" t="n"/>
      <c r="U16" s="39" t="n"/>
      <c r="V16" s="63" t="n"/>
      <c r="W16" s="39" t="n"/>
      <c r="X16" s="65" t="n"/>
      <c r="Y16" s="39" t="n"/>
      <c r="Z16" s="63" t="n"/>
      <c r="AA16" s="64" t="n"/>
    </row>
    <row r="17">
      <c r="A17" s="64" t="n"/>
      <c r="B17" s="64" t="n"/>
      <c r="C17" s="39" t="n"/>
      <c r="D17" s="40" t="n"/>
      <c r="E17" s="40" t="n"/>
      <c r="F17" s="65" t="n"/>
      <c r="G17" s="39" t="n"/>
      <c r="H17" s="40" t="n"/>
      <c r="I17" s="40" t="n"/>
      <c r="J17" s="63" t="n"/>
      <c r="K17" s="66" t="n"/>
      <c r="L17" s="40" t="n"/>
      <c r="M17" s="40" t="n"/>
      <c r="N17" s="63" t="n"/>
      <c r="O17" s="66" t="n"/>
      <c r="P17" s="40" t="n"/>
      <c r="Q17" s="40" t="n"/>
      <c r="R17" s="63" t="n"/>
      <c r="S17" s="107" t="n"/>
      <c r="T17" s="64" t="n"/>
      <c r="U17" s="39" t="n"/>
      <c r="V17" s="63" t="n"/>
      <c r="W17" s="39" t="n"/>
      <c r="X17" s="65" t="n"/>
      <c r="Y17" s="39" t="n"/>
      <c r="Z17" s="63" t="n"/>
      <c r="AA17" s="64" t="n"/>
    </row>
    <row r="18">
      <c r="A18" s="64" t="n"/>
      <c r="B18" s="64" t="n"/>
      <c r="C18" s="39" t="n"/>
      <c r="D18" s="40" t="n"/>
      <c r="E18" s="40" t="n"/>
      <c r="F18" s="65" t="n"/>
      <c r="G18" s="39" t="n"/>
      <c r="H18" s="40" t="n"/>
      <c r="I18" s="40" t="n"/>
      <c r="J18" s="63" t="n"/>
      <c r="K18" s="66" t="n"/>
      <c r="L18" s="40" t="n"/>
      <c r="M18" s="40" t="n"/>
      <c r="N18" s="63" t="n"/>
      <c r="O18" s="66" t="n"/>
      <c r="P18" s="40" t="n"/>
      <c r="Q18" s="40" t="n"/>
      <c r="R18" s="63" t="n"/>
      <c r="S18" s="107" t="n"/>
      <c r="T18" s="64" t="n"/>
      <c r="U18" s="39" t="n"/>
      <c r="V18" s="63" t="n"/>
      <c r="W18" s="39" t="n"/>
      <c r="X18" s="65" t="n"/>
      <c r="Y18" s="39" t="n"/>
      <c r="Z18" s="63" t="n"/>
      <c r="AA18" s="64" t="n"/>
    </row>
    <row r="19" ht="15.75" customHeight="1" s="161" thickBot="1">
      <c r="A19" s="68" t="n"/>
      <c r="B19" s="68" t="n"/>
      <c r="C19" s="69" t="n"/>
      <c r="D19" s="70" t="n"/>
      <c r="E19" s="70" t="n"/>
      <c r="F19" s="71" t="n"/>
      <c r="G19" s="69" t="n"/>
      <c r="H19" s="70" t="n"/>
      <c r="I19" s="70" t="n"/>
      <c r="J19" s="72" t="n"/>
      <c r="K19" s="73" t="n"/>
      <c r="L19" s="70" t="n"/>
      <c r="M19" s="70" t="n"/>
      <c r="N19" s="72" t="n"/>
      <c r="O19" s="73" t="n"/>
      <c r="P19" s="70" t="n"/>
      <c r="Q19" s="70" t="n"/>
      <c r="R19" s="72" t="n"/>
      <c r="S19" s="74" t="n"/>
      <c r="T19" s="68" t="n"/>
      <c r="U19" s="69" t="n"/>
      <c r="V19" s="72" t="n"/>
      <c r="W19" s="69" t="n"/>
      <c r="X19" s="71" t="n"/>
      <c r="Y19" s="69" t="n"/>
      <c r="Z19" s="72" t="n"/>
      <c r="AA19" s="75" t="n"/>
    </row>
    <row r="20" ht="15.75" customHeight="1" s="161" thickBot="1">
      <c r="A20" s="81" t="inlineStr">
        <is>
          <t>SUMATORIA</t>
        </is>
      </c>
      <c r="B20" s="173" t="n"/>
      <c r="C20" s="78" t="n"/>
      <c r="D20" s="79" t="n"/>
      <c r="E20" s="80" t="n"/>
      <c r="F20" s="81">
        <f>SUM(F7:F14)</f>
        <v/>
      </c>
      <c r="G20" s="78" t="n"/>
      <c r="H20" s="79" t="n"/>
      <c r="I20" s="79" t="n"/>
      <c r="J20" s="82" t="n"/>
      <c r="K20" s="83" t="n"/>
      <c r="L20" s="79" t="n"/>
      <c r="M20" s="80" t="n"/>
      <c r="N20" s="81">
        <f>SUM(N7:N14)</f>
        <v/>
      </c>
      <c r="O20" s="83" t="n"/>
      <c r="P20" s="79" t="n"/>
      <c r="Q20" s="79" t="n"/>
      <c r="R20" s="82" t="n"/>
      <c r="S20" s="150" t="n"/>
      <c r="T20" s="85">
        <f>SUM(T7:T14)</f>
        <v/>
      </c>
      <c r="U20" s="86">
        <f>SUM(U7:U14)</f>
        <v/>
      </c>
      <c r="V20" s="87">
        <f>SUM(V7:V14)</f>
        <v/>
      </c>
      <c r="W20" s="86">
        <f>SUM(W7:W14)</f>
        <v/>
      </c>
      <c r="X20" s="88">
        <f>SUM(X7:X14)</f>
        <v/>
      </c>
      <c r="Y20" s="78" t="n"/>
      <c r="Z20" s="82" t="n"/>
      <c r="AA20" s="89" t="n"/>
    </row>
    <row r="21" ht="15.75" customHeight="1" s="161" thickBot="1">
      <c r="A21" s="99" t="n"/>
      <c r="B21" s="99" t="n"/>
      <c r="C21" s="99" t="n"/>
      <c r="D21" s="99" t="n"/>
      <c r="E21" s="99" t="n"/>
      <c r="F21" s="99" t="n"/>
      <c r="G21" s="99" t="n"/>
      <c r="H21" s="99" t="n"/>
      <c r="I21" s="99" t="n"/>
      <c r="J21" s="99" t="n"/>
      <c r="K21" s="99" t="n"/>
      <c r="L21" s="99" t="n"/>
      <c r="M21" s="99" t="n"/>
      <c r="N21" s="99" t="n"/>
      <c r="O21" s="174" t="inlineStr">
        <is>
          <t xml:space="preserve">DIFERENCIAS O DELTAS  NS Y EW    </t>
        </is>
      </c>
      <c r="P21" s="163" t="n"/>
      <c r="Q21" s="163" t="n"/>
      <c r="R21" s="163" t="n"/>
      <c r="S21" s="163" t="n"/>
      <c r="T21" s="164" t="n"/>
      <c r="U21" s="93">
        <f>U20</f>
        <v/>
      </c>
      <c r="V21" s="94">
        <f>V20</f>
        <v/>
      </c>
      <c r="W21" s="95" t="n"/>
      <c r="X21" s="99" t="n"/>
      <c r="Y21" s="99" t="n"/>
      <c r="Z21" s="99" t="n"/>
      <c r="AA21" s="99" t="n"/>
    </row>
    <row r="22">
      <c r="A22" s="96" t="inlineStr">
        <is>
          <t>N. DE VERTICES</t>
        </is>
      </c>
      <c r="B22" s="165" t="n"/>
      <c r="C22" s="96" t="n">
        <v>6</v>
      </c>
      <c r="D22" s="163" t="n"/>
      <c r="E22" s="163" t="n"/>
      <c r="F22" s="165" t="n"/>
      <c r="G22" s="99" t="n"/>
      <c r="H22" s="99" t="n"/>
      <c r="I22" s="99" t="n"/>
      <c r="J22" s="99" t="n"/>
      <c r="K22" s="99" t="n"/>
      <c r="L22" s="99" t="n"/>
      <c r="M22" s="99" t="n"/>
      <c r="N22" s="99" t="n"/>
      <c r="O22" s="175" t="inlineStr">
        <is>
          <t>SUMA DE PROYECIONES N+S Y E+W</t>
        </is>
      </c>
      <c r="P22" s="176" t="n"/>
      <c r="Q22" s="176" t="n"/>
      <c r="R22" s="176" t="n"/>
      <c r="S22" s="176" t="n"/>
      <c r="T22" s="177" t="n"/>
      <c r="U22" s="103">
        <f>SUM(ABS(U7)+ABS(U8)+ABS(U9)+ABS(U10)+ABS(U11)+ABS(U12)+ABS(U13)+ABS(U14)+ABS(U15)+ABS(U16)+ABS(U17)+ABS(U18)+ABS(U19))</f>
        <v/>
      </c>
      <c r="V22" s="104">
        <f>SUM(ABS(V7)+ABS(V8)+ABS(V9)+ABS(V10)+ABS(V11)+ABS(V12)+ABS(V13)+ABS(V14)+ABS(V15)+ABS(V16)+ABS(V17)+ABS(V18)+ABS(V19))</f>
        <v/>
      </c>
      <c r="W22" s="95" t="n"/>
      <c r="X22" s="96" t="inlineStr">
        <is>
          <t>COORDENADAS</t>
        </is>
      </c>
      <c r="Y22" s="163" t="n"/>
      <c r="Z22" s="165" t="n"/>
      <c r="AA22" s="99" t="n"/>
    </row>
    <row r="23">
      <c r="A23" s="64" t="inlineStr">
        <is>
          <t>TIPO DE ANGULO</t>
        </is>
      </c>
      <c r="B23" s="177" t="n"/>
      <c r="C23" s="64" t="inlineStr">
        <is>
          <t>I</t>
        </is>
      </c>
      <c r="D23" s="176" t="n"/>
      <c r="E23" s="176" t="n"/>
      <c r="F23" s="177" t="n"/>
      <c r="G23" s="99" t="n"/>
      <c r="H23" s="99" t="n"/>
      <c r="I23" s="99" t="n"/>
      <c r="J23" s="99" t="n"/>
      <c r="K23" s="99" t="n"/>
      <c r="L23" s="99" t="n"/>
      <c r="M23" s="99" t="n"/>
      <c r="N23" s="99" t="n"/>
      <c r="O23" s="175" t="inlineStr">
        <is>
          <t xml:space="preserve">CORECCION UNITARIA  PARA LAS NS Y EW </t>
        </is>
      </c>
      <c r="P23" s="176" t="n"/>
      <c r="Q23" s="176" t="n"/>
      <c r="R23" s="176" t="n"/>
      <c r="S23" s="176" t="n"/>
      <c r="T23" s="177" t="n"/>
      <c r="U23" s="108">
        <f>U21/U22</f>
        <v/>
      </c>
      <c r="V23" s="109">
        <f>V21/V22</f>
        <v/>
      </c>
      <c r="W23" s="110" t="n"/>
      <c r="X23" s="39" t="inlineStr">
        <is>
          <t>PTO</t>
        </is>
      </c>
      <c r="Y23" s="40" t="inlineStr">
        <is>
          <t>N</t>
        </is>
      </c>
      <c r="Z23" s="63" t="inlineStr">
        <is>
          <t>E</t>
        </is>
      </c>
      <c r="AA23" s="99" t="n"/>
    </row>
    <row r="24" ht="15.75" customHeight="1" s="161" thickBot="1">
      <c r="A24" s="111" t="inlineStr">
        <is>
          <t>SUMA DE ANG. OBSSERVADOS</t>
        </is>
      </c>
      <c r="B24" s="178" t="n"/>
      <c r="C24" s="42">
        <f>INT(F24)</f>
        <v/>
      </c>
      <c r="D24" s="43">
        <f>INT((F24-C24)*60)</f>
        <v/>
      </c>
      <c r="E24" s="113">
        <f>((F24-C24)*60-D24)*60</f>
        <v/>
      </c>
      <c r="F24" s="44">
        <f>F20</f>
        <v/>
      </c>
      <c r="G24" s="132" t="n"/>
      <c r="H24" s="132" t="n"/>
      <c r="I24" s="132" t="n"/>
      <c r="J24" s="132" t="n"/>
      <c r="K24" s="99" t="n"/>
      <c r="L24" s="99" t="n"/>
      <c r="M24" s="99" t="n"/>
      <c r="N24" s="99" t="n"/>
      <c r="O24" s="179" t="inlineStr">
        <is>
          <t xml:space="preserve">ERROR DE CIERRE DE LA POLIGONAL  </t>
        </is>
      </c>
      <c r="P24" s="180" t="n"/>
      <c r="Q24" s="180" t="n"/>
      <c r="R24" s="180" t="n"/>
      <c r="S24" s="180" t="n"/>
      <c r="T24" s="181" t="n"/>
      <c r="U24" s="118">
        <f>(SQRT(POWER(U20,2)+POWER(V20,2)))</f>
        <v/>
      </c>
      <c r="V24" s="119" t="n"/>
      <c r="W24" s="95" t="n"/>
      <c r="X24" s="39" t="inlineStr">
        <is>
          <t>V10</t>
        </is>
      </c>
      <c r="Y24" s="43" t="n">
        <v>100135.67</v>
      </c>
      <c r="Z24" s="44" t="n">
        <v>101440.53</v>
      </c>
      <c r="AA24" s="99" t="n"/>
    </row>
    <row r="25" ht="15.75" customHeight="1" s="161" thickBot="1">
      <c r="A25" s="182" t="inlineStr">
        <is>
          <t>SUMA DE ANG. TEORICOS</t>
        </is>
      </c>
      <c r="B25" s="177" t="n"/>
      <c r="C25" s="42">
        <f>INT(F25)</f>
        <v/>
      </c>
      <c r="D25" s="43">
        <f>INT((F25-C25)*60)</f>
        <v/>
      </c>
      <c r="E25" s="113">
        <f>((F25-C25)*60-D25)*60</f>
        <v/>
      </c>
      <c r="F25" s="44">
        <f>IF(C23="E",(C22+2)*180,((C22-2)*180)+360)</f>
        <v/>
      </c>
      <c r="G25" s="132" t="n"/>
      <c r="H25" s="132" t="n"/>
      <c r="I25" s="132" t="n"/>
      <c r="J25" s="132" t="n"/>
      <c r="K25" s="99" t="n"/>
      <c r="L25" s="99" t="n"/>
      <c r="M25" s="99" t="n"/>
      <c r="N25" s="99" t="n"/>
      <c r="O25" s="183" t="inlineStr">
        <is>
          <t xml:space="preserve">                    PRECISION                                                1 :</t>
        </is>
      </c>
      <c r="P25" s="184" t="n"/>
      <c r="Q25" s="184" t="n"/>
      <c r="R25" s="184" t="n"/>
      <c r="S25" s="184" t="n"/>
      <c r="T25" s="173" t="n"/>
      <c r="U25" s="185">
        <f>MROUND(T20/U24,1000)</f>
        <v/>
      </c>
      <c r="V25" s="173" t="n"/>
      <c r="W25" s="127" t="n"/>
      <c r="X25" s="128" t="inlineStr">
        <is>
          <t>TT4</t>
        </is>
      </c>
      <c r="Y25" s="20" t="n">
        <v>100142.809</v>
      </c>
      <c r="Z25" s="21" t="n">
        <v>101436.5</v>
      </c>
      <c r="AA25" s="99" t="n"/>
    </row>
    <row r="26">
      <c r="A26" s="64" t="inlineStr">
        <is>
          <t>ERROR EN ÁNGULO</t>
        </is>
      </c>
      <c r="B26" s="177" t="n"/>
      <c r="C26" s="42">
        <f>ROUNDDOWN(F26,0)&amp;"°"&amp;ROUNDDOWN((F26-ROUNDDOWN(F26,0))*60,0)&amp;"'"&amp;(ROUNDDOWN((((F26-ROUNDDOWN(F26,0))*60)-(ROUNDDOWN(((F26-ROUNDDOWN(F26,0))*60),0)))*60,2))&amp;"''"</f>
        <v/>
      </c>
      <c r="D26" s="176" t="n"/>
      <c r="E26" s="178" t="n"/>
      <c r="F26" s="44">
        <f>F24-F25</f>
        <v/>
      </c>
      <c r="G26" s="132" t="n"/>
      <c r="H26" s="132" t="n"/>
      <c r="I26" s="132" t="n"/>
      <c r="J26" s="132" t="n"/>
      <c r="K26" s="99" t="n"/>
      <c r="L26" s="99" t="n"/>
      <c r="M26" s="99" t="n"/>
      <c r="N26" s="99" t="n"/>
      <c r="O26" s="99" t="n"/>
      <c r="P26" s="99" t="n"/>
      <c r="Q26" s="99" t="n"/>
      <c r="R26" s="99" t="n"/>
      <c r="S26" s="132" t="n"/>
      <c r="T26" s="132" t="n"/>
      <c r="U26" s="99" t="n"/>
      <c r="V26" s="99" t="n"/>
      <c r="W26" s="99" t="n"/>
      <c r="X26" s="99" t="n"/>
      <c r="Y26" s="99" t="n"/>
      <c r="Z26" s="99" t="n"/>
      <c r="AA26" s="99" t="n"/>
    </row>
    <row r="27" ht="15.75" customHeight="1" s="161" thickBot="1">
      <c r="A27" s="75" t="inlineStr">
        <is>
          <t>CORR. ANGULAR</t>
        </is>
      </c>
      <c r="B27" s="181" t="n"/>
      <c r="C27" s="17">
        <f>ROUNDDOWN(F27,0)&amp;"°"&amp;ROUNDDOWN((F27-ROUNDDOWN(F27,0))*60,0)&amp;"'"&amp;(ROUNDDOWN((((F27-ROUNDDOWN(F27,0))*60)-(ROUNDDOWN(((F27-ROUNDDOWN(F27,0))*60),0)))*60,2))&amp;"''"</f>
        <v/>
      </c>
      <c r="D27" s="180" t="n"/>
      <c r="E27" s="186" t="n"/>
      <c r="F27" s="21">
        <f>F26/(C22+1)</f>
        <v/>
      </c>
      <c r="G27" s="132" t="n"/>
      <c r="H27" s="132" t="n"/>
      <c r="I27" s="132" t="n"/>
      <c r="J27" s="132" t="n"/>
      <c r="K27" s="99" t="n"/>
      <c r="L27" s="99" t="n"/>
      <c r="M27" s="99" t="n"/>
      <c r="N27" s="99" t="n"/>
      <c r="O27" s="99" t="n"/>
      <c r="P27" s="99" t="n"/>
      <c r="Q27" s="99" t="n"/>
      <c r="R27" s="99" t="n"/>
      <c r="S27" s="132" t="n"/>
      <c r="U27" s="99" t="n"/>
      <c r="V27" s="99" t="n"/>
      <c r="W27" s="99" t="n"/>
      <c r="X27" s="99" t="n"/>
      <c r="Y27" s="99" t="n"/>
      <c r="Z27" s="99" t="n"/>
      <c r="AA27" s="99" t="n"/>
    </row>
  </sheetData>
  <mergeCells count="31">
    <mergeCell ref="W4:X4"/>
    <mergeCell ref="A24:B24"/>
    <mergeCell ref="Y4:Z4"/>
    <mergeCell ref="C23:F23"/>
    <mergeCell ref="T4:T5"/>
    <mergeCell ref="G4:J4"/>
    <mergeCell ref="O22:T22"/>
    <mergeCell ref="O25:T25"/>
    <mergeCell ref="K4:N4"/>
    <mergeCell ref="O21:T21"/>
    <mergeCell ref="C27:E27"/>
    <mergeCell ref="A25:B25"/>
    <mergeCell ref="AA4:AA5"/>
    <mergeCell ref="U25:V25"/>
    <mergeCell ref="T26:T27"/>
    <mergeCell ref="A27:B27"/>
    <mergeCell ref="O4:S4"/>
    <mergeCell ref="A26:B26"/>
    <mergeCell ref="X22:Z22"/>
    <mergeCell ref="A4:A5"/>
    <mergeCell ref="O23:T23"/>
    <mergeCell ref="C4:F4"/>
    <mergeCell ref="A23:B23"/>
    <mergeCell ref="A22:B22"/>
    <mergeCell ref="C22:F22"/>
    <mergeCell ref="A20:B20"/>
    <mergeCell ref="B2:Z2"/>
    <mergeCell ref="O24:T24"/>
    <mergeCell ref="B4:B5"/>
    <mergeCell ref="C26:E26"/>
    <mergeCell ref="U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fuquene</dc:creator>
  <dcterms:created xmlns:dcterms="http://purl.org/dc/terms/" xmlns:xsi="http://www.w3.org/2001/XMLSchema-instance" xsi:type="dcterms:W3CDTF">2018-04-25T16:01:21Z</dcterms:created>
  <dcterms:modified xmlns:dcterms="http://purl.org/dc/terms/" xmlns:xsi="http://www.w3.org/2001/XMLSchema-instance" xsi:type="dcterms:W3CDTF">2026-09-22T21:22:35Z</dcterms:modified>
  <cp:lastModifiedBy>sergio fuquene</cp:lastModifiedBy>
  <cp:lastPrinted>2018-04-25T21:06:17Z</cp:lastPrinted>
</cp:coreProperties>
</file>