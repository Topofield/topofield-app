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ebastian r\DOCS\"/>
    </mc:Choice>
  </mc:AlternateContent>
  <xr:revisionPtr revIDLastSave="0" documentId="8_{75261C5C-94AE-40ED-9583-5CA1CA1281A3}" xr6:coauthVersionLast="47" xr6:coauthVersionMax="47" xr10:uidLastSave="{00000000-0000-0000-0000-000000000000}"/>
  <bookViews>
    <workbookView xWindow="-120" yWindow="-120" windowWidth="20730" windowHeight="11040" activeTab="1" xr2:uid="{B4AE9317-695A-4E8D-9FA4-5087332CAD18}"/>
  </bookViews>
  <sheets>
    <sheet name="NIVELACION" sheetId="1" r:id="rId1"/>
    <sheet name="CONTRANIVEL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2" l="1"/>
  <c r="G46" i="1"/>
  <c r="F46" i="1"/>
  <c r="D46" i="1"/>
  <c r="F42" i="1"/>
  <c r="D42" i="1"/>
  <c r="E44" i="2"/>
  <c r="F40" i="2"/>
  <c r="D40" i="2"/>
  <c r="K31" i="2"/>
  <c r="K7" i="2"/>
  <c r="K4" i="2"/>
  <c r="J36" i="2"/>
  <c r="K34" i="2" s="1"/>
  <c r="J33" i="2"/>
  <c r="J30" i="2"/>
  <c r="J27" i="2"/>
  <c r="J24" i="2"/>
  <c r="J21" i="2"/>
  <c r="J18" i="2"/>
  <c r="J15" i="2"/>
  <c r="K13" i="2" s="1"/>
  <c r="J12" i="2"/>
  <c r="J9" i="2"/>
  <c r="J6" i="2"/>
  <c r="I33" i="2"/>
  <c r="I30" i="2"/>
  <c r="B28" i="2"/>
  <c r="I27" i="2" s="1"/>
  <c r="K28" i="2" s="1"/>
  <c r="B16" i="2"/>
  <c r="I15" i="2" s="1"/>
  <c r="K16" i="2" s="1"/>
  <c r="I24" i="2"/>
  <c r="I21" i="2"/>
  <c r="K22" i="2" s="1"/>
  <c r="I18" i="2"/>
  <c r="K19" i="2" s="1"/>
  <c r="I12" i="2"/>
  <c r="I9" i="2"/>
  <c r="K10" i="2" s="1"/>
  <c r="I6" i="2"/>
  <c r="I3" i="2"/>
  <c r="M34" i="1"/>
  <c r="M31" i="1"/>
  <c r="M28" i="1"/>
  <c r="M25" i="1"/>
  <c r="M22" i="1"/>
  <c r="M19" i="1"/>
  <c r="M16" i="1"/>
  <c r="M13" i="1"/>
  <c r="M42" i="1" s="1"/>
  <c r="M10" i="1"/>
  <c r="M7" i="1"/>
  <c r="M4" i="1"/>
  <c r="K36" i="1"/>
  <c r="K33" i="1"/>
  <c r="K30" i="1"/>
  <c r="K27" i="1"/>
  <c r="K24" i="1"/>
  <c r="K21" i="1"/>
  <c r="K18" i="1"/>
  <c r="K12" i="1"/>
  <c r="K9" i="1"/>
  <c r="K6" i="1"/>
  <c r="I33" i="1"/>
  <c r="I30" i="1"/>
  <c r="I27" i="1"/>
  <c r="I24" i="1"/>
  <c r="I21" i="1"/>
  <c r="I18" i="1"/>
  <c r="I12" i="1"/>
  <c r="I9" i="1"/>
  <c r="I6" i="1"/>
  <c r="I3" i="1"/>
  <c r="H15" i="1"/>
  <c r="P3" i="2"/>
  <c r="E3" i="2"/>
  <c r="H6" i="2" s="1"/>
  <c r="E6" i="2" s="1"/>
  <c r="H9" i="2" s="1"/>
  <c r="E9" i="2" s="1"/>
  <c r="H12" i="2" s="1"/>
  <c r="E12" i="2" s="1"/>
  <c r="H15" i="2" s="1"/>
  <c r="E15" i="2" s="1"/>
  <c r="H18" i="2" s="1"/>
  <c r="E18" i="2" s="1"/>
  <c r="H21" i="2" s="1"/>
  <c r="E21" i="2" s="1"/>
  <c r="H24" i="2" s="1"/>
  <c r="E3" i="1"/>
  <c r="H6" i="1" s="1"/>
  <c r="E6" i="1" s="1"/>
  <c r="H9" i="1" s="1"/>
  <c r="E9" i="1" s="1"/>
  <c r="H12" i="1" s="1"/>
  <c r="E12" i="1" s="1"/>
  <c r="K42" i="2" l="1"/>
  <c r="K47" i="2" s="1"/>
  <c r="P21" i="2"/>
  <c r="P24" i="2"/>
  <c r="P6" i="2"/>
  <c r="P9" i="2"/>
  <c r="P12" i="2"/>
  <c r="P15" i="2"/>
  <c r="P18" i="2"/>
  <c r="H27" i="2"/>
  <c r="H18" i="1"/>
  <c r="E18" i="1" s="1"/>
  <c r="H21" i="1" s="1"/>
  <c r="E21" i="1" s="1"/>
  <c r="H24" i="1" s="1"/>
  <c r="E24" i="1" s="1"/>
  <c r="H27" i="1" s="1"/>
  <c r="E27" i="1" s="1"/>
  <c r="H30" i="1" s="1"/>
  <c r="E30" i="1" s="1"/>
  <c r="H33" i="1" s="1"/>
  <c r="E33" i="1" s="1"/>
  <c r="H36" i="1" s="1"/>
  <c r="E27" i="2" l="1"/>
  <c r="H30" i="2" s="1"/>
  <c r="P27" i="2"/>
  <c r="E30" i="2" l="1"/>
  <c r="H33" i="2" s="1"/>
  <c r="P30" i="2"/>
  <c r="E33" i="2" l="1"/>
  <c r="H36" i="2" s="1"/>
  <c r="P33" i="2"/>
  <c r="D44" i="2" l="1"/>
  <c r="F44" i="2" s="1"/>
  <c r="O3" i="2"/>
  <c r="O4" i="2" s="1"/>
  <c r="P36" i="2"/>
  <c r="L9" i="2" l="1"/>
  <c r="M9" i="2" s="1"/>
  <c r="L6" i="2"/>
  <c r="M6" i="2" s="1"/>
  <c r="L3" i="2"/>
  <c r="M3" i="2" s="1"/>
  <c r="L24" i="2"/>
  <c r="M24" i="2" s="1"/>
  <c r="L12" i="2"/>
  <c r="M12" i="2" s="1"/>
  <c r="L15" i="2"/>
  <c r="M15" i="2" s="1"/>
  <c r="L18" i="2"/>
  <c r="M18" i="2" s="1"/>
  <c r="L21" i="2"/>
  <c r="M21" i="2" s="1"/>
  <c r="L27" i="2"/>
  <c r="M27" i="2" s="1"/>
  <c r="L30" i="2"/>
  <c r="M30" i="2" s="1"/>
  <c r="L33" i="2"/>
  <c r="M33" i="2" s="1"/>
  <c r="L36" i="2"/>
  <c r="M36" i="2" s="1"/>
</calcChain>
</file>

<file path=xl/sharedStrings.xml><?xml version="1.0" encoding="utf-8"?>
<sst xmlns="http://schemas.openxmlformats.org/spreadsheetml/2006/main" count="50" uniqueCount="33">
  <si>
    <t>PUNTO</t>
  </si>
  <si>
    <t>V+</t>
  </si>
  <si>
    <t>HI</t>
  </si>
  <si>
    <t>V-</t>
  </si>
  <si>
    <t>COTA</t>
  </si>
  <si>
    <t>D1</t>
  </si>
  <si>
    <t>C 1</t>
  </si>
  <si>
    <t>C 2</t>
  </si>
  <si>
    <t xml:space="preserve">C 3 </t>
  </si>
  <si>
    <t>AUX1</t>
  </si>
  <si>
    <t>VI</t>
  </si>
  <si>
    <t>C 4</t>
  </si>
  <si>
    <t xml:space="preserve">C 5 </t>
  </si>
  <si>
    <t>C 6</t>
  </si>
  <si>
    <t>C 7</t>
  </si>
  <si>
    <t>D3</t>
  </si>
  <si>
    <t>C 8</t>
  </si>
  <si>
    <t>D4</t>
  </si>
  <si>
    <t xml:space="preserve">C 8 </t>
  </si>
  <si>
    <t>C 5</t>
  </si>
  <si>
    <t>---</t>
  </si>
  <si>
    <t>C 3</t>
  </si>
  <si>
    <t>AUX 1</t>
  </si>
  <si>
    <t>Correccion</t>
  </si>
  <si>
    <t>DISTANCIA V+</t>
  </si>
  <si>
    <t>DISTANCIA V-</t>
  </si>
  <si>
    <t>Distancia total</t>
  </si>
  <si>
    <t>DISTANCIA TOTAL</t>
  </si>
  <si>
    <t xml:space="preserve">ERROR </t>
  </si>
  <si>
    <t>COMPENSACION</t>
  </si>
  <si>
    <t>Error de cierre admisible</t>
  </si>
  <si>
    <t>Error Cierre Orden 4</t>
  </si>
  <si>
    <t>Cotas finales a 3 CIFRAS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</si>
</sst>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92" formatCode="0.0"/>
    <numFmt numFmtId="194" formatCode="0.00000"/>
  </numFmts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Fill="1" applyBorder="1" applyAlignment="1">
      <alignment horizontal="center"/>
    </xf>
    <xf numFmtId="0" fontId="0" fillId="0" borderId="6" xfId="0" quotePrefix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164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1" xfId="0" applyNumberFormat="1" applyBorder="1"/>
    <xf numFmtId="192" fontId="0" fillId="0" borderId="0" xfId="0" applyNumberFormat="1"/>
    <xf numFmtId="0" fontId="0" fillId="0" borderId="0" xfId="0" applyAlignment="1">
      <alignment wrapText="1"/>
    </xf>
    <xf numFmtId="194" fontId="0" fillId="0" borderId="1" xfId="0" applyNumberFormat="1" applyBorder="1"/>
    <xf numFmtId="0" fontId="1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gray125">
          <bgColor rgb="FFFF000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 patternType="gray125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46</xdr:row>
      <xdr:rowOff>0</xdr:rowOff>
    </xdr:from>
    <xdr:to>
      <xdr:col>8</xdr:col>
      <xdr:colOff>629526</xdr:colOff>
      <xdr:row>58</xdr:row>
      <xdr:rowOff>171818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452C26-06E6-464C-96C2-F414283E6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5" y="8886825"/>
          <a:ext cx="6277851" cy="2638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DB92-0B9C-4E4F-B06B-826337077AC8}">
  <dimension ref="C1:M46"/>
  <sheetViews>
    <sheetView topLeftCell="A25" workbookViewId="0">
      <selection activeCell="G47" sqref="G47"/>
    </sheetView>
  </sheetViews>
  <sheetFormatPr baseColWidth="10" defaultRowHeight="15" x14ac:dyDescent="0.25"/>
  <cols>
    <col min="8" max="8" width="14" style="1" customWidth="1"/>
    <col min="12" max="12" width="14.85546875" customWidth="1"/>
  </cols>
  <sheetData>
    <row r="1" spans="3:13" x14ac:dyDescent="0.25">
      <c r="C1" t="s">
        <v>0</v>
      </c>
      <c r="D1" t="s">
        <v>1</v>
      </c>
      <c r="E1" s="1" t="s">
        <v>2</v>
      </c>
      <c r="F1" t="s">
        <v>3</v>
      </c>
      <c r="G1" t="s">
        <v>10</v>
      </c>
      <c r="H1" s="1" t="s">
        <v>4</v>
      </c>
      <c r="I1" t="s">
        <v>24</v>
      </c>
      <c r="K1" t="s">
        <v>25</v>
      </c>
    </row>
    <row r="2" spans="3:13" x14ac:dyDescent="0.25">
      <c r="C2" s="12" t="s">
        <v>5</v>
      </c>
      <c r="D2" s="13">
        <v>1.367</v>
      </c>
      <c r="E2" s="1"/>
      <c r="H2" s="17">
        <v>3288.5</v>
      </c>
    </row>
    <row r="3" spans="3:13" x14ac:dyDescent="0.25">
      <c r="C3" s="12"/>
      <c r="D3" s="14">
        <v>1.2090000000000001</v>
      </c>
      <c r="E3" s="1">
        <f>H2+D3</f>
        <v>3289.7089999999998</v>
      </c>
      <c r="I3">
        <f>(D2-D4)*100</f>
        <v>31.499999999999993</v>
      </c>
    </row>
    <row r="4" spans="3:13" x14ac:dyDescent="0.25">
      <c r="C4" s="12"/>
      <c r="D4" s="15">
        <v>1.052</v>
      </c>
      <c r="E4" s="1"/>
      <c r="M4">
        <f>I3+K6</f>
        <v>59.999999999999986</v>
      </c>
    </row>
    <row r="5" spans="3:13" x14ac:dyDescent="0.25">
      <c r="C5" s="12" t="s">
        <v>6</v>
      </c>
      <c r="D5" s="13">
        <v>3.4159999999999999</v>
      </c>
      <c r="E5" s="1"/>
      <c r="F5" s="13">
        <v>0.41</v>
      </c>
    </row>
    <row r="6" spans="3:13" x14ac:dyDescent="0.25">
      <c r="C6" s="12"/>
      <c r="D6" s="14">
        <v>3.2749999999999999</v>
      </c>
      <c r="E6" s="1">
        <f>H6+D6</f>
        <v>3292.7159999999999</v>
      </c>
      <c r="F6" s="14">
        <v>0.26800000000000002</v>
      </c>
      <c r="H6" s="1">
        <f>E3-F6</f>
        <v>3289.4409999999998</v>
      </c>
      <c r="I6">
        <f>(D5-D7)*100</f>
        <v>28.100000000000016</v>
      </c>
      <c r="K6">
        <f>(F5-F7)*100</f>
        <v>28.499999999999996</v>
      </c>
    </row>
    <row r="7" spans="3:13" x14ac:dyDescent="0.25">
      <c r="C7" s="12"/>
      <c r="D7" s="15">
        <v>3.1349999999999998</v>
      </c>
      <c r="E7" s="1"/>
      <c r="F7" s="15">
        <v>0.125</v>
      </c>
      <c r="M7">
        <f>I6+K9</f>
        <v>45.400000000000013</v>
      </c>
    </row>
    <row r="8" spans="3:13" x14ac:dyDescent="0.25">
      <c r="C8" s="12" t="s">
        <v>7</v>
      </c>
      <c r="D8" s="13">
        <v>3.5779999999999998</v>
      </c>
      <c r="E8" s="1"/>
      <c r="F8" s="13">
        <v>0.31</v>
      </c>
    </row>
    <row r="9" spans="3:13" x14ac:dyDescent="0.25">
      <c r="C9" s="12"/>
      <c r="D9" s="14">
        <v>3.4689999999999999</v>
      </c>
      <c r="E9" s="1">
        <f>H9+D9</f>
        <v>3295.9609999999998</v>
      </c>
      <c r="F9" s="14">
        <v>0.224</v>
      </c>
      <c r="H9" s="1">
        <f>E6-F9</f>
        <v>3292.4919999999997</v>
      </c>
      <c r="I9">
        <f>(D8-D10)*100</f>
        <v>21.899999999999984</v>
      </c>
      <c r="K9">
        <f>(F8-F10)*100</f>
        <v>17.299999999999997</v>
      </c>
    </row>
    <row r="10" spans="3:13" x14ac:dyDescent="0.25">
      <c r="C10" s="12"/>
      <c r="D10" s="15">
        <v>3.359</v>
      </c>
      <c r="E10" s="1"/>
      <c r="F10" s="15">
        <v>0.13700000000000001</v>
      </c>
      <c r="M10">
        <f>I9+K12</f>
        <v>33.59999999999998</v>
      </c>
    </row>
    <row r="11" spans="3:13" x14ac:dyDescent="0.25">
      <c r="C11" s="12" t="s">
        <v>8</v>
      </c>
      <c r="D11" s="13">
        <v>4.08</v>
      </c>
      <c r="E11" s="1"/>
      <c r="F11" s="13">
        <v>0.15</v>
      </c>
    </row>
    <row r="12" spans="3:13" x14ac:dyDescent="0.25">
      <c r="C12" s="12"/>
      <c r="D12" s="14">
        <v>3.952</v>
      </c>
      <c r="E12" s="1">
        <f>H12+D12</f>
        <v>3299.8209999999999</v>
      </c>
      <c r="F12" s="14">
        <v>9.1999999999999998E-2</v>
      </c>
      <c r="H12" s="1">
        <f>E9-F12</f>
        <v>3295.8689999999997</v>
      </c>
      <c r="I12">
        <f>(D11-D13)*100</f>
        <v>25.499999999999989</v>
      </c>
      <c r="K12">
        <f>(F11-F13)*100</f>
        <v>11.7</v>
      </c>
    </row>
    <row r="13" spans="3:13" x14ac:dyDescent="0.25">
      <c r="C13" s="12"/>
      <c r="D13" s="15">
        <v>3.8250000000000002</v>
      </c>
      <c r="E13" s="1"/>
      <c r="F13" s="15">
        <v>3.3000000000000002E-2</v>
      </c>
      <c r="M13">
        <f>I12+K15</f>
        <v>25.499999999999989</v>
      </c>
    </row>
    <row r="14" spans="3:13" x14ac:dyDescent="0.25">
      <c r="C14" s="12" t="s">
        <v>9</v>
      </c>
      <c r="G14" s="13">
        <v>0.27100000000000002</v>
      </c>
    </row>
    <row r="15" spans="3:13" x14ac:dyDescent="0.25">
      <c r="C15" s="12"/>
      <c r="G15" s="14">
        <v>0.19400000000000001</v>
      </c>
      <c r="H15" s="1">
        <f>E12-G15</f>
        <v>3299.627</v>
      </c>
    </row>
    <row r="16" spans="3:13" x14ac:dyDescent="0.25">
      <c r="C16" s="12"/>
      <c r="G16" s="15">
        <v>0.11600000000000001</v>
      </c>
      <c r="M16">
        <f>I15+K18</f>
        <v>15.1</v>
      </c>
    </row>
    <row r="17" spans="3:13" x14ac:dyDescent="0.25">
      <c r="C17" s="12" t="s">
        <v>11</v>
      </c>
      <c r="D17" s="13">
        <v>3.411</v>
      </c>
      <c r="E17" s="1"/>
      <c r="F17" s="13">
        <v>0.31900000000000001</v>
      </c>
    </row>
    <row r="18" spans="3:13" x14ac:dyDescent="0.25">
      <c r="C18" s="12"/>
      <c r="D18" s="14">
        <v>3.3140000000000001</v>
      </c>
      <c r="E18" s="1">
        <f>H18+D18</f>
        <v>3302.8909999999996</v>
      </c>
      <c r="F18" s="14">
        <v>0.24399999999999999</v>
      </c>
      <c r="H18" s="1">
        <f>E12-F18</f>
        <v>3299.5769999999998</v>
      </c>
      <c r="I18">
        <f>(D17-D19)*100</f>
        <v>19.600000000000016</v>
      </c>
      <c r="K18">
        <f>(F17-F19)*100</f>
        <v>15.1</v>
      </c>
    </row>
    <row r="19" spans="3:13" x14ac:dyDescent="0.25">
      <c r="C19" s="12"/>
      <c r="D19" s="15">
        <v>3.2149999999999999</v>
      </c>
      <c r="E19" s="1"/>
      <c r="F19" s="15">
        <v>0.16800000000000001</v>
      </c>
      <c r="M19">
        <f>I18+K21</f>
        <v>36.200000000000017</v>
      </c>
    </row>
    <row r="20" spans="3:13" x14ac:dyDescent="0.25">
      <c r="C20" s="12" t="s">
        <v>12</v>
      </c>
      <c r="D20">
        <v>3.1040000000000001</v>
      </c>
      <c r="E20" s="1"/>
      <c r="F20" s="13">
        <v>0.20699999999999999</v>
      </c>
    </row>
    <row r="21" spans="3:13" x14ac:dyDescent="0.25">
      <c r="C21" s="12"/>
      <c r="D21">
        <v>3.0129999999999999</v>
      </c>
      <c r="E21" s="1">
        <f>H21+D21</f>
        <v>3305.7799999999997</v>
      </c>
      <c r="F21" s="14">
        <v>0.124</v>
      </c>
      <c r="H21" s="1">
        <f>E18-F21</f>
        <v>3302.7669999999998</v>
      </c>
      <c r="I21">
        <f>(D20-D22)*100</f>
        <v>18.100000000000005</v>
      </c>
      <c r="K21">
        <f>(F20-F22)*100</f>
        <v>16.599999999999998</v>
      </c>
    </row>
    <row r="22" spans="3:13" x14ac:dyDescent="0.25">
      <c r="C22" s="12"/>
      <c r="D22">
        <v>2.923</v>
      </c>
      <c r="E22" s="1"/>
      <c r="F22" s="15">
        <v>4.1000000000000002E-2</v>
      </c>
      <c r="M22">
        <f>I21+K24</f>
        <v>33.600000000000009</v>
      </c>
    </row>
    <row r="23" spans="3:13" x14ac:dyDescent="0.25">
      <c r="C23" s="12" t="s">
        <v>13</v>
      </c>
      <c r="D23" s="13">
        <v>3.665</v>
      </c>
      <c r="E23" s="1"/>
      <c r="F23" s="13">
        <v>0.222</v>
      </c>
    </row>
    <row r="24" spans="3:13" x14ac:dyDescent="0.25">
      <c r="C24" s="12"/>
      <c r="D24" s="14">
        <v>3.5489999999999999</v>
      </c>
      <c r="E24" s="1">
        <f>H24+D24</f>
        <v>3309.1839999999997</v>
      </c>
      <c r="F24" s="14">
        <v>0.14499999999999999</v>
      </c>
      <c r="H24" s="1">
        <f>E21-F24</f>
        <v>3305.6349999999998</v>
      </c>
      <c r="I24">
        <f>(D23-D25)*100</f>
        <v>23.099999999999987</v>
      </c>
      <c r="K24">
        <f>(F23-F25)*100</f>
        <v>15.5</v>
      </c>
    </row>
    <row r="25" spans="3:13" x14ac:dyDescent="0.25">
      <c r="C25" s="12"/>
      <c r="D25" s="14">
        <v>3.4340000000000002</v>
      </c>
      <c r="E25" s="1"/>
      <c r="F25" s="15">
        <v>6.7000000000000004E-2</v>
      </c>
      <c r="M25">
        <f>I24+K27</f>
        <v>37.999999999999986</v>
      </c>
    </row>
    <row r="26" spans="3:13" x14ac:dyDescent="0.25">
      <c r="C26" s="11" t="s">
        <v>14</v>
      </c>
      <c r="D26" s="13">
        <v>3.2810000000000001</v>
      </c>
      <c r="E26" s="1"/>
      <c r="F26" s="13">
        <v>0.20599999999999999</v>
      </c>
    </row>
    <row r="27" spans="3:13" x14ac:dyDescent="0.25">
      <c r="C27" s="11"/>
      <c r="D27" s="14">
        <v>3.16</v>
      </c>
      <c r="E27" s="1">
        <f>H27+D27</f>
        <v>3312.2119999999995</v>
      </c>
      <c r="F27" s="14">
        <v>0.13200000000000001</v>
      </c>
      <c r="H27" s="1">
        <f>E24-F27</f>
        <v>3309.0519999999997</v>
      </c>
      <c r="I27">
        <f>(D26-D28)*100</f>
        <v>24.2</v>
      </c>
      <c r="K27">
        <f>(F26-F28)*100</f>
        <v>14.899999999999999</v>
      </c>
    </row>
    <row r="28" spans="3:13" x14ac:dyDescent="0.25">
      <c r="C28" s="11"/>
      <c r="D28" s="15">
        <v>3.0390000000000001</v>
      </c>
      <c r="E28" s="1"/>
      <c r="F28" s="15">
        <v>5.7000000000000002E-2</v>
      </c>
      <c r="M28">
        <f>I27+K30</f>
        <v>32.600000000000009</v>
      </c>
    </row>
    <row r="29" spans="3:13" x14ac:dyDescent="0.25">
      <c r="C29" s="12" t="s">
        <v>15</v>
      </c>
      <c r="D29" s="13">
        <v>2.468</v>
      </c>
      <c r="E29" s="1"/>
      <c r="F29" s="13">
        <v>0.91200000000000003</v>
      </c>
    </row>
    <row r="30" spans="3:13" x14ac:dyDescent="0.25">
      <c r="C30" s="12"/>
      <c r="D30" s="14">
        <v>2.395</v>
      </c>
      <c r="E30" s="1">
        <f>H30+D30</f>
        <v>3313.7369999999996</v>
      </c>
      <c r="F30" s="14">
        <v>0.87</v>
      </c>
      <c r="H30" s="1">
        <f>E27-F30</f>
        <v>3311.3419999999996</v>
      </c>
      <c r="I30">
        <f>(D29-D31)*100</f>
        <v>14.69999999999998</v>
      </c>
      <c r="K30">
        <f>(F29-F31)*100</f>
        <v>8.4000000000000075</v>
      </c>
    </row>
    <row r="31" spans="3:13" x14ac:dyDescent="0.25">
      <c r="C31" s="12"/>
      <c r="D31" s="15">
        <v>2.3210000000000002</v>
      </c>
      <c r="E31" s="1"/>
      <c r="F31" s="15">
        <v>0.82799999999999996</v>
      </c>
      <c r="M31">
        <f>I30+K33</f>
        <v>36.499999999999979</v>
      </c>
    </row>
    <row r="32" spans="3:13" x14ac:dyDescent="0.25">
      <c r="C32" s="12" t="s">
        <v>16</v>
      </c>
      <c r="D32" s="13">
        <v>2.4089999999999998</v>
      </c>
      <c r="E32" s="1"/>
      <c r="F32" s="13">
        <v>0.30399999999999999</v>
      </c>
    </row>
    <row r="33" spans="3:13" x14ac:dyDescent="0.25">
      <c r="C33" s="12"/>
      <c r="D33" s="14">
        <v>2.3490000000000002</v>
      </c>
      <c r="E33" s="1">
        <f>H33+D33</f>
        <v>3315.8909999999996</v>
      </c>
      <c r="F33" s="14">
        <v>0.19500000000000001</v>
      </c>
      <c r="H33" s="1">
        <f>E30-F33</f>
        <v>3313.5419999999995</v>
      </c>
      <c r="I33">
        <f>(D32-D34)*100</f>
        <v>12.1</v>
      </c>
      <c r="K33">
        <f>(F32-F34)*100</f>
        <v>21.8</v>
      </c>
    </row>
    <row r="34" spans="3:13" x14ac:dyDescent="0.25">
      <c r="C34" s="12"/>
      <c r="D34" s="15">
        <v>2.2879999999999998</v>
      </c>
      <c r="E34" s="1"/>
      <c r="F34" s="15">
        <v>8.5999999999999993E-2</v>
      </c>
      <c r="M34">
        <f>I33+K36</f>
        <v>27.800000000000004</v>
      </c>
    </row>
    <row r="35" spans="3:13" x14ac:dyDescent="0.25">
      <c r="C35" s="12" t="s">
        <v>17</v>
      </c>
      <c r="E35" s="1"/>
      <c r="F35" s="13">
        <v>0.88600000000000001</v>
      </c>
    </row>
    <row r="36" spans="3:13" x14ac:dyDescent="0.25">
      <c r="C36" s="12"/>
      <c r="E36" s="1"/>
      <c r="F36" s="14">
        <v>0.80800000000000005</v>
      </c>
      <c r="H36" s="1">
        <f>E33-F36</f>
        <v>3315.0829999999996</v>
      </c>
      <c r="K36">
        <f>(F35-F37)*100</f>
        <v>15.700000000000003</v>
      </c>
    </row>
    <row r="37" spans="3:13" x14ac:dyDescent="0.25">
      <c r="C37" s="12"/>
      <c r="E37" s="1"/>
      <c r="F37" s="15">
        <v>0.72899999999999998</v>
      </c>
    </row>
    <row r="42" spans="3:13" x14ac:dyDescent="0.25">
      <c r="D42">
        <f>D3+D6+D9+D12+D18+D21+D24+D27+D30+D33</f>
        <v>29.684999999999999</v>
      </c>
      <c r="F42">
        <f>F6+F9+F12+F18+F21+F24+F27+F30+F33+F36</f>
        <v>3.1020000000000003</v>
      </c>
      <c r="L42" t="s">
        <v>26</v>
      </c>
      <c r="M42">
        <f>SUM(M4:M34)</f>
        <v>384.30000000000007</v>
      </c>
    </row>
    <row r="46" spans="3:13" x14ac:dyDescent="0.25">
      <c r="D46" s="2">
        <f>H2-H36</f>
        <v>-26.582999999999629</v>
      </c>
      <c r="F46">
        <f>D42-F42</f>
        <v>26.582999999999998</v>
      </c>
      <c r="G46" s="2">
        <f>F46+D46</f>
        <v>3.694822225952521E-13</v>
      </c>
    </row>
  </sheetData>
  <mergeCells count="12">
    <mergeCell ref="C35:C37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3C70-D023-481D-A0E4-483EBE862BE3}">
  <dimension ref="B1:P47"/>
  <sheetViews>
    <sheetView tabSelected="1" topLeftCell="A4" workbookViewId="0">
      <selection activeCell="B14" sqref="B14:B16"/>
    </sheetView>
  </sheetViews>
  <sheetFormatPr baseColWidth="10" defaultRowHeight="15" x14ac:dyDescent="0.25"/>
  <cols>
    <col min="6" max="6" width="34.5703125" bestFit="1" customWidth="1"/>
    <col min="9" max="9" width="16.5703125" customWidth="1"/>
    <col min="10" max="10" width="17.28515625" customWidth="1"/>
    <col min="11" max="11" width="14.85546875" customWidth="1"/>
    <col min="13" max="13" width="21.140625" customWidth="1"/>
    <col min="14" max="14" width="21.28515625" customWidth="1"/>
    <col min="15" max="15" width="14.42578125" customWidth="1"/>
  </cols>
  <sheetData>
    <row r="1" spans="2:16" ht="15.75" thickBot="1" x14ac:dyDescent="0.3">
      <c r="C1" s="3" t="s">
        <v>0</v>
      </c>
      <c r="D1" s="5" t="s">
        <v>1</v>
      </c>
      <c r="E1" s="3" t="s">
        <v>2</v>
      </c>
      <c r="F1" s="3" t="s">
        <v>3</v>
      </c>
      <c r="G1" s="3" t="s">
        <v>10</v>
      </c>
      <c r="H1" s="3" t="s">
        <v>4</v>
      </c>
      <c r="I1" s="3" t="s">
        <v>24</v>
      </c>
      <c r="J1" s="3" t="s">
        <v>25</v>
      </c>
      <c r="K1" s="18"/>
      <c r="L1" s="9" t="s">
        <v>23</v>
      </c>
      <c r="M1" s="24" t="s">
        <v>32</v>
      </c>
      <c r="N1" s="19"/>
    </row>
    <row r="2" spans="2:16" x14ac:dyDescent="0.25">
      <c r="C2" s="11" t="s">
        <v>17</v>
      </c>
      <c r="D2" s="6">
        <v>0.93700000000000006</v>
      </c>
      <c r="M2" s="24"/>
    </row>
    <row r="3" spans="2:16" x14ac:dyDescent="0.25">
      <c r="C3" s="11"/>
      <c r="D3" s="7">
        <v>0.86499999999999999</v>
      </c>
      <c r="E3">
        <f>H3+D3</f>
        <v>3315.9479999999994</v>
      </c>
      <c r="H3">
        <v>3315.0829999999996</v>
      </c>
      <c r="I3">
        <f>(D2-D4)*100</f>
        <v>14.3</v>
      </c>
      <c r="L3">
        <f>H3+$O$4</f>
        <v>3315.0834545454541</v>
      </c>
      <c r="M3" s="25">
        <f>L3</f>
        <v>3315.0834545454541</v>
      </c>
      <c r="N3" s="20" t="s">
        <v>28</v>
      </c>
      <c r="O3" s="16">
        <f>NIVELACION!H2-CONTRANIVELACION!H36</f>
        <v>5.0000000005638867E-3</v>
      </c>
      <c r="P3">
        <f>H3-NIVELACION!H36</f>
        <v>0</v>
      </c>
    </row>
    <row r="4" spans="2:16" ht="15.75" thickBot="1" x14ac:dyDescent="0.3">
      <c r="C4" s="11"/>
      <c r="D4" s="8">
        <v>0.79400000000000004</v>
      </c>
      <c r="K4">
        <f>SUM(I3+J6)</f>
        <v>27.800000000000026</v>
      </c>
      <c r="M4" s="26"/>
      <c r="N4" s="16" t="s">
        <v>29</v>
      </c>
      <c r="O4" s="23">
        <f>O3/11</f>
        <v>4.5454545459671698E-4</v>
      </c>
    </row>
    <row r="5" spans="2:16" x14ac:dyDescent="0.25">
      <c r="C5" s="12" t="s">
        <v>18</v>
      </c>
      <c r="D5" s="6">
        <v>0.878</v>
      </c>
      <c r="F5" s="6">
        <v>2.4740000000000002</v>
      </c>
      <c r="M5" s="26"/>
      <c r="N5" s="16" t="s">
        <v>31</v>
      </c>
      <c r="O5" s="4" t="str">
        <f>IF(ABS(O3)&lt;=K47,"CUMPLE","NO CUMPLE")</f>
        <v>CUMPLE</v>
      </c>
    </row>
    <row r="6" spans="2:16" x14ac:dyDescent="0.25">
      <c r="C6" s="12"/>
      <c r="D6" s="7">
        <v>0.80200000000000005</v>
      </c>
      <c r="E6">
        <f>H6+D6</f>
        <v>3314.3429999999994</v>
      </c>
      <c r="F6" s="7">
        <v>2.407</v>
      </c>
      <c r="H6">
        <f>E3-F6</f>
        <v>3313.5409999999993</v>
      </c>
      <c r="I6">
        <f>(D5-D7)*100</f>
        <v>15.200000000000003</v>
      </c>
      <c r="J6">
        <f>(F5-F7)*100</f>
        <v>13.500000000000023</v>
      </c>
      <c r="L6">
        <f>H6+$O$4</f>
        <v>3313.5414545454537</v>
      </c>
      <c r="M6" s="25">
        <f>L6</f>
        <v>3313.5414545454537</v>
      </c>
      <c r="N6" s="2"/>
      <c r="P6">
        <f>H6-NIVELACION!H33</f>
        <v>-1.0000000002037268E-3</v>
      </c>
    </row>
    <row r="7" spans="2:16" ht="15.75" thickBot="1" x14ac:dyDescent="0.3">
      <c r="C7" s="12"/>
      <c r="D7" s="8">
        <v>0.72599999999999998</v>
      </c>
      <c r="F7" s="8">
        <v>2.339</v>
      </c>
      <c r="K7">
        <f>SUM(I6+J9)</f>
        <v>37.799999999999997</v>
      </c>
      <c r="M7" s="26"/>
    </row>
    <row r="8" spans="2:16" x14ac:dyDescent="0.25">
      <c r="C8" s="11" t="s">
        <v>15</v>
      </c>
      <c r="D8" s="6">
        <v>0.60499999999999998</v>
      </c>
      <c r="F8" s="6">
        <v>3.1160000000000001</v>
      </c>
      <c r="M8" s="26"/>
    </row>
    <row r="9" spans="2:16" x14ac:dyDescent="0.25">
      <c r="C9" s="11"/>
      <c r="D9" s="7">
        <v>0.53100000000000003</v>
      </c>
      <c r="E9">
        <f>H9+D9</f>
        <v>3311.8709999999992</v>
      </c>
      <c r="F9" s="7">
        <v>3.0030000000000001</v>
      </c>
      <c r="H9">
        <f>E6-F9</f>
        <v>3311.3399999999992</v>
      </c>
      <c r="I9">
        <f>(D8-D10)*100</f>
        <v>14.799999999999997</v>
      </c>
      <c r="J9">
        <f>(F8-F10)*100</f>
        <v>22.599999999999998</v>
      </c>
      <c r="L9">
        <f>H9+$O$4</f>
        <v>3311.3404545454537</v>
      </c>
      <c r="M9" s="25">
        <f>L9</f>
        <v>3311.3404545454537</v>
      </c>
      <c r="N9" s="2"/>
      <c r="P9">
        <f>H9-NIVELACION!H30</f>
        <v>-2.0000000004074536E-3</v>
      </c>
    </row>
    <row r="10" spans="2:16" ht="15.75" thickBot="1" x14ac:dyDescent="0.3">
      <c r="C10" s="11"/>
      <c r="D10" s="8">
        <v>0.45700000000000002</v>
      </c>
      <c r="F10" s="8">
        <v>2.89</v>
      </c>
      <c r="K10">
        <f>SUM(I9+J12)</f>
        <v>32.900000000000006</v>
      </c>
      <c r="M10" s="26"/>
    </row>
    <row r="11" spans="2:16" x14ac:dyDescent="0.25">
      <c r="C11" s="11" t="s">
        <v>14</v>
      </c>
      <c r="D11" s="6">
        <v>0.17699999999999999</v>
      </c>
      <c r="F11" s="6">
        <v>2.9119999999999999</v>
      </c>
      <c r="M11" s="26"/>
    </row>
    <row r="12" spans="2:16" x14ac:dyDescent="0.25">
      <c r="C12" s="11"/>
      <c r="D12" s="7">
        <v>9.1999999999999998E-2</v>
      </c>
      <c r="E12">
        <f>H12+D12</f>
        <v>3309.1419999999994</v>
      </c>
      <c r="F12" s="7">
        <v>2.8210000000000002</v>
      </c>
      <c r="H12">
        <f>E9-F12</f>
        <v>3309.0499999999993</v>
      </c>
      <c r="I12">
        <f>(D11-D13)*100</f>
        <v>17</v>
      </c>
      <c r="J12">
        <f>(F11-F13)*100</f>
        <v>18.100000000000005</v>
      </c>
      <c r="L12">
        <f>H12+$O$4</f>
        <v>3309.0504545454537</v>
      </c>
      <c r="M12" s="25">
        <f>L12</f>
        <v>3309.0504545454537</v>
      </c>
      <c r="N12" s="2"/>
      <c r="P12">
        <f>H12-NIVELACION!H27</f>
        <v>-2.0000000004074536E-3</v>
      </c>
    </row>
    <row r="13" spans="2:16" ht="15.75" thickBot="1" x14ac:dyDescent="0.3">
      <c r="C13" s="11"/>
      <c r="D13" s="8">
        <v>7.0000000000000001E-3</v>
      </c>
      <c r="F13" s="8">
        <v>2.7309999999999999</v>
      </c>
      <c r="K13">
        <f>SUM(I12+J15)</f>
        <v>37.900000000000006</v>
      </c>
      <c r="M13" s="26"/>
    </row>
    <row r="14" spans="2:16" x14ac:dyDescent="0.25">
      <c r="B14" s="6">
        <v>0.17</v>
      </c>
      <c r="C14" s="27" t="s">
        <v>13</v>
      </c>
      <c r="D14" s="6">
        <v>0.17</v>
      </c>
      <c r="F14" s="6">
        <v>3.6139999999999999</v>
      </c>
      <c r="M14" s="26"/>
    </row>
    <row r="15" spans="2:16" x14ac:dyDescent="0.25">
      <c r="B15" s="7">
        <v>8.3000000000000004E-2</v>
      </c>
      <c r="C15" s="27"/>
      <c r="D15" s="7">
        <v>8.3000000000000004E-2</v>
      </c>
      <c r="E15">
        <f>H15+D15</f>
        <v>3305.7149999999992</v>
      </c>
      <c r="F15" s="7">
        <v>3.51</v>
      </c>
      <c r="H15">
        <f>E12-F15</f>
        <v>3305.6319999999992</v>
      </c>
      <c r="I15">
        <f>(B14-B16)*100</f>
        <v>25.7</v>
      </c>
      <c r="J15">
        <f>(F14-F16)*100</f>
        <v>20.900000000000006</v>
      </c>
      <c r="L15">
        <f>H15+$O$4</f>
        <v>3305.6324545454536</v>
      </c>
      <c r="M15" s="25">
        <f>L15</f>
        <v>3305.6324545454536</v>
      </c>
      <c r="N15" s="2"/>
      <c r="P15">
        <f>H15-NIVELACION!H24</f>
        <v>-3.0000000006111804E-3</v>
      </c>
    </row>
    <row r="16" spans="2:16" ht="15.75" thickBot="1" x14ac:dyDescent="0.3">
      <c r="B16" s="8">
        <f>B15-B14</f>
        <v>-8.7000000000000008E-2</v>
      </c>
      <c r="C16" s="27"/>
      <c r="D16" s="10" t="s">
        <v>20</v>
      </c>
      <c r="F16" s="8">
        <v>3.4049999999999998</v>
      </c>
      <c r="K16">
        <f>SUM(I15+J18)</f>
        <v>41.899999999999991</v>
      </c>
      <c r="M16" s="26"/>
    </row>
    <row r="17" spans="2:16" x14ac:dyDescent="0.25">
      <c r="C17" s="11" t="s">
        <v>19</v>
      </c>
      <c r="D17" s="6">
        <v>0.35</v>
      </c>
      <c r="F17" s="6">
        <v>3.0339999999999998</v>
      </c>
      <c r="M17" s="26"/>
    </row>
    <row r="18" spans="2:16" x14ac:dyDescent="0.25">
      <c r="C18" s="11"/>
      <c r="D18" s="7">
        <v>0.26600000000000001</v>
      </c>
      <c r="E18">
        <f>H18+D18</f>
        <v>3303.0279999999993</v>
      </c>
      <c r="F18" s="7">
        <v>2.9529999999999998</v>
      </c>
      <c r="H18">
        <f>E15-F18</f>
        <v>3302.7619999999993</v>
      </c>
      <c r="I18">
        <f>(D17-D19)*100</f>
        <v>16.799999999999997</v>
      </c>
      <c r="J18">
        <f>(F17-F19)*100</f>
        <v>16.199999999999992</v>
      </c>
      <c r="L18">
        <f>H18+$O$4</f>
        <v>3302.7624545454537</v>
      </c>
      <c r="M18" s="25">
        <f>L18</f>
        <v>3302.7624545454537</v>
      </c>
      <c r="N18" s="2"/>
      <c r="P18">
        <f>H18-NIVELACION!H21</f>
        <v>-5.0000000005638867E-3</v>
      </c>
    </row>
    <row r="19" spans="2:16" ht="15.75" thickBot="1" x14ac:dyDescent="0.3">
      <c r="C19" s="11"/>
      <c r="D19" s="8">
        <v>0.182</v>
      </c>
      <c r="F19" s="8">
        <v>2.8719999999999999</v>
      </c>
      <c r="K19">
        <f>SUM(I18+J21)</f>
        <v>36.999999999999993</v>
      </c>
      <c r="M19" s="26"/>
    </row>
    <row r="20" spans="2:16" x14ac:dyDescent="0.25">
      <c r="C20" s="11" t="s">
        <v>11</v>
      </c>
      <c r="D20" s="6">
        <v>0.23499999999999999</v>
      </c>
      <c r="F20" s="6">
        <v>3.5569999999999999</v>
      </c>
      <c r="M20" s="26"/>
    </row>
    <row r="21" spans="2:16" x14ac:dyDescent="0.25">
      <c r="C21" s="11"/>
      <c r="D21" s="7">
        <v>0.157</v>
      </c>
      <c r="E21">
        <f>H21+D21</f>
        <v>3299.7289999999994</v>
      </c>
      <c r="F21" s="7">
        <v>3.456</v>
      </c>
      <c r="H21">
        <f>E18-F21</f>
        <v>3299.5719999999992</v>
      </c>
      <c r="I21">
        <f>(D20-D22)*100</f>
        <v>15.699999999999998</v>
      </c>
      <c r="J21">
        <f>(F20-F22)*100</f>
        <v>20.199999999999996</v>
      </c>
      <c r="L21">
        <f>H21+$O$4</f>
        <v>3299.5724545454536</v>
      </c>
      <c r="M21" s="25">
        <f>L21</f>
        <v>3299.5724545454536</v>
      </c>
      <c r="N21" s="2"/>
      <c r="P21">
        <f>H21-NIVELACION!H18</f>
        <v>-5.0000000005638867E-3</v>
      </c>
    </row>
    <row r="22" spans="2:16" ht="15.75" thickBot="1" x14ac:dyDescent="0.3">
      <c r="C22" s="11"/>
      <c r="D22" s="8">
        <v>7.8E-2</v>
      </c>
      <c r="F22" s="8">
        <v>3.355</v>
      </c>
      <c r="K22">
        <f>SUM(I21+J24)</f>
        <v>15.699999999999998</v>
      </c>
      <c r="M22" s="26"/>
    </row>
    <row r="23" spans="2:16" x14ac:dyDescent="0.25">
      <c r="C23" s="12" t="s">
        <v>22</v>
      </c>
      <c r="G23" s="6">
        <v>0.188</v>
      </c>
      <c r="M23" s="26"/>
    </row>
    <row r="24" spans="2:16" x14ac:dyDescent="0.25">
      <c r="C24" s="12"/>
      <c r="G24" s="7">
        <v>0.107</v>
      </c>
      <c r="H24">
        <f>E21-G24</f>
        <v>3299.6219999999994</v>
      </c>
      <c r="I24">
        <f>(D23-D25)*100</f>
        <v>0</v>
      </c>
      <c r="J24">
        <f>(F23-F25)*100</f>
        <v>0</v>
      </c>
      <c r="L24">
        <f>H24+$O$4</f>
        <v>3299.6224545454538</v>
      </c>
      <c r="M24" s="25">
        <f>L24</f>
        <v>3299.6224545454538</v>
      </c>
      <c r="N24" s="2"/>
      <c r="P24">
        <f>H24-NIVELACION!H15</f>
        <v>-5.0000000005638867E-3</v>
      </c>
    </row>
    <row r="25" spans="2:16" ht="15.75" thickBot="1" x14ac:dyDescent="0.3">
      <c r="C25" s="12"/>
      <c r="G25" s="8">
        <v>2.5999999999999999E-2</v>
      </c>
      <c r="M25" s="26"/>
    </row>
    <row r="26" spans="2:16" x14ac:dyDescent="0.25">
      <c r="B26" s="6">
        <v>8.5000000000000006E-2</v>
      </c>
      <c r="C26" s="11" t="s">
        <v>21</v>
      </c>
      <c r="D26" s="6">
        <v>8.5000000000000006E-2</v>
      </c>
      <c r="F26" s="6">
        <v>3.988</v>
      </c>
      <c r="M26" s="26"/>
    </row>
    <row r="27" spans="2:16" x14ac:dyDescent="0.25">
      <c r="B27" s="7">
        <v>2.1999999999999999E-2</v>
      </c>
      <c r="C27" s="11"/>
      <c r="D27" s="7">
        <v>2.1999999999999999E-2</v>
      </c>
      <c r="E27">
        <f>H27+D27</f>
        <v>3295.8859999999995</v>
      </c>
      <c r="F27" s="7">
        <v>3.8650000000000002</v>
      </c>
      <c r="H27">
        <f>E21-F27</f>
        <v>3295.8639999999996</v>
      </c>
      <c r="I27">
        <f>(B26-B28)*100</f>
        <v>14.800000000000002</v>
      </c>
      <c r="J27">
        <f>(F26-F28)*100</f>
        <v>24.699999999999989</v>
      </c>
      <c r="L27">
        <f>H27+$O$4</f>
        <v>3295.864454545454</v>
      </c>
      <c r="M27" s="25">
        <f>L27</f>
        <v>3295.864454545454</v>
      </c>
      <c r="N27" s="2"/>
      <c r="P27">
        <f>H27-NIVELACION!H12</f>
        <v>-5.0000000001091394E-3</v>
      </c>
    </row>
    <row r="28" spans="2:16" ht="15.75" thickBot="1" x14ac:dyDescent="0.3">
      <c r="B28">
        <f>B27-B26</f>
        <v>-6.3E-2</v>
      </c>
      <c r="C28" s="11"/>
      <c r="D28" s="10" t="s">
        <v>20</v>
      </c>
      <c r="F28" s="8">
        <v>3.7410000000000001</v>
      </c>
      <c r="K28">
        <f>SUM(I27+J30)</f>
        <v>35.899999999999991</v>
      </c>
      <c r="M28" s="26"/>
    </row>
    <row r="29" spans="2:16" x14ac:dyDescent="0.25">
      <c r="C29" s="11" t="s">
        <v>7</v>
      </c>
      <c r="D29" s="6">
        <v>0.224</v>
      </c>
      <c r="F29" s="6">
        <v>3.5049999999999999</v>
      </c>
      <c r="M29" s="26"/>
    </row>
    <row r="30" spans="2:16" x14ac:dyDescent="0.25">
      <c r="C30" s="11"/>
      <c r="D30" s="7">
        <v>0.13400000000000001</v>
      </c>
      <c r="E30">
        <f>H30+D30</f>
        <v>3292.6199999999994</v>
      </c>
      <c r="F30" s="7">
        <v>3.4</v>
      </c>
      <c r="H30">
        <f>E27-F30</f>
        <v>3292.4859999999994</v>
      </c>
      <c r="I30">
        <f>(D29-D31)*100</f>
        <v>18</v>
      </c>
      <c r="J30">
        <f>(F29-F31)*100</f>
        <v>21.099999999999987</v>
      </c>
      <c r="L30">
        <f>H30+$O$4</f>
        <v>3292.4864545454539</v>
      </c>
      <c r="M30" s="25">
        <f>L30</f>
        <v>3292.4864545454539</v>
      </c>
      <c r="N30" s="2"/>
      <c r="P30">
        <f>H30-NIVELACION!H9</f>
        <v>-6.0000000003128662E-3</v>
      </c>
    </row>
    <row r="31" spans="2:16" ht="15.75" thickBot="1" x14ac:dyDescent="0.3">
      <c r="C31" s="11"/>
      <c r="D31" s="8">
        <v>4.3999999999999997E-2</v>
      </c>
      <c r="F31" s="8">
        <v>3.294</v>
      </c>
      <c r="K31">
        <f>SUM(I30+J33)</f>
        <v>45.499999999999993</v>
      </c>
      <c r="M31" s="26"/>
    </row>
    <row r="32" spans="2:16" x14ac:dyDescent="0.25">
      <c r="C32" s="11" t="s">
        <v>6</v>
      </c>
      <c r="D32" s="6">
        <v>0.55400000000000005</v>
      </c>
      <c r="F32" s="6">
        <v>3.323</v>
      </c>
      <c r="M32" s="26"/>
    </row>
    <row r="33" spans="3:16" x14ac:dyDescent="0.25">
      <c r="C33" s="11"/>
      <c r="D33" s="7">
        <v>0.45200000000000001</v>
      </c>
      <c r="E33">
        <f>H33+D33</f>
        <v>3289.8859999999995</v>
      </c>
      <c r="F33" s="7">
        <v>3.1859999999999999</v>
      </c>
      <c r="H33">
        <f>E30-F33</f>
        <v>3289.4339999999993</v>
      </c>
      <c r="I33">
        <f>(D32-D34)*100</f>
        <v>20.400000000000006</v>
      </c>
      <c r="J33">
        <f>(F32-F34)*100</f>
        <v>27.499999999999993</v>
      </c>
      <c r="L33">
        <f>H33+$O$4</f>
        <v>3289.4344545454537</v>
      </c>
      <c r="M33" s="25">
        <f>L33</f>
        <v>3289.4344545454537</v>
      </c>
      <c r="N33" s="2"/>
      <c r="P33">
        <f>H33-NIVELACION!H6</f>
        <v>-7.000000000516593E-3</v>
      </c>
    </row>
    <row r="34" spans="3:16" ht="15.75" thickBot="1" x14ac:dyDescent="0.3">
      <c r="C34" s="11"/>
      <c r="D34" s="8">
        <v>0.35</v>
      </c>
      <c r="F34" s="8">
        <v>3.048</v>
      </c>
      <c r="K34">
        <f>SUM(I33+J36)</f>
        <v>60.500000000000007</v>
      </c>
      <c r="M34" s="26"/>
    </row>
    <row r="35" spans="3:16" x14ac:dyDescent="0.25">
      <c r="C35" s="12" t="s">
        <v>5</v>
      </c>
      <c r="F35" s="6">
        <v>1.591</v>
      </c>
      <c r="M35" s="26"/>
    </row>
    <row r="36" spans="3:16" x14ac:dyDescent="0.25">
      <c r="C36" s="12"/>
      <c r="F36" s="7">
        <v>1.391</v>
      </c>
      <c r="H36">
        <f>E33-F36</f>
        <v>3288.4949999999994</v>
      </c>
      <c r="J36">
        <f>(F35-F37)*100</f>
        <v>40.1</v>
      </c>
      <c r="L36">
        <f>H36+$O$4</f>
        <v>3288.4954545454539</v>
      </c>
      <c r="M36" s="25">
        <f>L36</f>
        <v>3288.4954545454539</v>
      </c>
      <c r="N36" s="2"/>
      <c r="P36">
        <f>H36-NIVELACION!H2</f>
        <v>-5.0000000005638867E-3</v>
      </c>
    </row>
    <row r="37" spans="3:16" ht="15.75" thickBot="1" x14ac:dyDescent="0.3">
      <c r="C37" s="12"/>
      <c r="F37" s="8">
        <v>1.19</v>
      </c>
    </row>
    <row r="39" spans="3:16" x14ac:dyDescent="0.25">
      <c r="M39" s="2"/>
      <c r="N39" s="2"/>
    </row>
    <row r="40" spans="3:16" x14ac:dyDescent="0.25">
      <c r="D40">
        <f>(D3+D6+D9+D12+D15+D18+D21+D27+D30+D33)</f>
        <v>3.4039999999999999</v>
      </c>
      <c r="F40">
        <f>F6+F9+F12+F15+F18+F21+F27+F30+F33+F36</f>
        <v>29.991999999999997</v>
      </c>
    </row>
    <row r="42" spans="3:16" x14ac:dyDescent="0.25">
      <c r="J42" s="16" t="s">
        <v>27</v>
      </c>
      <c r="K42" s="16">
        <f>SUM(K4:K36)</f>
        <v>372.9</v>
      </c>
    </row>
    <row r="44" spans="3:16" x14ac:dyDescent="0.25">
      <c r="D44">
        <f>H36-H3</f>
        <v>-26.588000000000193</v>
      </c>
      <c r="E44">
        <f>F40-D40</f>
        <v>26.587999999999997</v>
      </c>
      <c r="F44" s="2">
        <f>E44+D44</f>
        <v>-1.9539925233402755E-13</v>
      </c>
    </row>
    <row r="47" spans="3:16" ht="29.25" customHeight="1" x14ac:dyDescent="0.25">
      <c r="J47" s="22" t="s">
        <v>30</v>
      </c>
      <c r="K47" s="21">
        <f>(10)*SQRT((K42/1000))</f>
        <v>6.1065538563088095</v>
      </c>
    </row>
  </sheetData>
  <mergeCells count="13">
    <mergeCell ref="M1:M2"/>
    <mergeCell ref="C35:C37"/>
    <mergeCell ref="C20:C22"/>
    <mergeCell ref="C26:C28"/>
    <mergeCell ref="C29:C31"/>
    <mergeCell ref="C23:C25"/>
    <mergeCell ref="C32:C34"/>
    <mergeCell ref="C17:C19"/>
    <mergeCell ref="C2:C4"/>
    <mergeCell ref="C5:C7"/>
    <mergeCell ref="C8:C10"/>
    <mergeCell ref="C11:C13"/>
    <mergeCell ref="C14:C16"/>
  </mergeCells>
  <conditionalFormatting sqref="O5">
    <cfRule type="expression" dxfId="2" priority="2">
      <formula>$O$5="CUMPLE"</formula>
    </cfRule>
    <cfRule type="expression" dxfId="3" priority="1">
      <formula>$O$5="NO CUMPLE"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NIVELACION</vt:lpstr>
      <vt:lpstr>CONTRANIVELACION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2026-05-25T20:05:14Z</dcterms:created>
  <dcterms:modified xsi:type="dcterms:W3CDTF">2026-09-14T20:26:13Z</dcterms:modified>
</cp:coreProperties>
</file>