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UD\Trabajo De Grado\BASE REF\"/>
    </mc:Choice>
  </mc:AlternateContent>
  <xr:revisionPtr revIDLastSave="0" documentId="13_ncr:1_{DC5FA1EB-A638-4968-852C-0821586EE7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rol de asentamientos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28" i="1" l="1"/>
  <c r="BQ33" i="1"/>
  <c r="BQ34" i="1"/>
  <c r="BQ40" i="1"/>
  <c r="BQ41" i="1"/>
  <c r="BQ27" i="1"/>
  <c r="BP33" i="1"/>
  <c r="BP40" i="1"/>
  <c r="BP41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27" i="1"/>
  <c r="AJ13" i="1"/>
  <c r="BP35" i="1" s="1"/>
  <c r="AJ14" i="1"/>
  <c r="BP36" i="1" s="1"/>
  <c r="AJ15" i="1"/>
  <c r="BP37" i="1" s="1"/>
  <c r="AJ16" i="1"/>
  <c r="BP38" i="1" s="1"/>
  <c r="AJ17" i="1"/>
  <c r="BP39" i="1" s="1"/>
  <c r="AJ18" i="1"/>
  <c r="AJ19" i="1"/>
  <c r="AJ20" i="1"/>
  <c r="BP42" i="1" s="1"/>
  <c r="AJ21" i="1"/>
  <c r="BP43" i="1" s="1"/>
  <c r="AJ12" i="1"/>
  <c r="BP34" i="1" s="1"/>
  <c r="AJ6" i="1"/>
  <c r="BP28" i="1" s="1"/>
  <c r="AJ7" i="1"/>
  <c r="BP29" i="1" s="1"/>
  <c r="AJ8" i="1"/>
  <c r="BP30" i="1" s="1"/>
  <c r="AJ9" i="1"/>
  <c r="BP31" i="1" s="1"/>
  <c r="AJ10" i="1"/>
  <c r="BP32" i="1" s="1"/>
  <c r="AJ5" i="1"/>
  <c r="BP27" i="1" s="1"/>
  <c r="AE13" i="1"/>
  <c r="BE35" i="1" s="1"/>
  <c r="AE14" i="1"/>
  <c r="AE15" i="1"/>
  <c r="BE37" i="1" s="1"/>
  <c r="AE16" i="1"/>
  <c r="BE38" i="1" s="1"/>
  <c r="AE17" i="1"/>
  <c r="BE39" i="1" s="1"/>
  <c r="AE18" i="1"/>
  <c r="AE19" i="1"/>
  <c r="AE20" i="1"/>
  <c r="BE42" i="1" s="1"/>
  <c r="AE21" i="1"/>
  <c r="BE43" i="1" s="1"/>
  <c r="AE12" i="1"/>
  <c r="BE34" i="1" s="1"/>
  <c r="AE6" i="1"/>
  <c r="BE28" i="1" s="1"/>
  <c r="AE7" i="1"/>
  <c r="BE29" i="1" s="1"/>
  <c r="AE8" i="1"/>
  <c r="BE30" i="1" s="1"/>
  <c r="AE9" i="1"/>
  <c r="BE31" i="1" s="1"/>
  <c r="AE10" i="1"/>
  <c r="BE32" i="1" s="1"/>
  <c r="AE5" i="1"/>
  <c r="BE27" i="1" s="1"/>
  <c r="BE33" i="1"/>
  <c r="BE36" i="1"/>
  <c r="BE40" i="1"/>
  <c r="BE41" i="1"/>
  <c r="Z13" i="1"/>
  <c r="AT35" i="1" s="1"/>
  <c r="Z14" i="1"/>
  <c r="AT36" i="1" s="1"/>
  <c r="Z15" i="1"/>
  <c r="AT37" i="1" s="1"/>
  <c r="Z16" i="1"/>
  <c r="Z17" i="1"/>
  <c r="AU39" i="1" s="1"/>
  <c r="Z18" i="1"/>
  <c r="AT40" i="1" s="1"/>
  <c r="Z19" i="1"/>
  <c r="Z20" i="1"/>
  <c r="Z21" i="1"/>
  <c r="AT43" i="1" s="1"/>
  <c r="Z12" i="1"/>
  <c r="AT34" i="1" s="1"/>
  <c r="Z6" i="1"/>
  <c r="AT28" i="1" s="1"/>
  <c r="Z7" i="1"/>
  <c r="AU29" i="1" s="1"/>
  <c r="Z8" i="1"/>
  <c r="AU30" i="1" s="1"/>
  <c r="Z9" i="1"/>
  <c r="AT31" i="1" s="1"/>
  <c r="Z10" i="1"/>
  <c r="AT32" i="1" s="1"/>
  <c r="Z5" i="1"/>
  <c r="AT27" i="1" s="1"/>
  <c r="AT42" i="1"/>
  <c r="AU33" i="1"/>
  <c r="AU38" i="1"/>
  <c r="AU41" i="1"/>
  <c r="AU42" i="1"/>
  <c r="AT33" i="1"/>
  <c r="AT38" i="1"/>
  <c r="AT39" i="1"/>
  <c r="AT41" i="1"/>
  <c r="AI33" i="1"/>
  <c r="AI31" i="1"/>
  <c r="AI38" i="1"/>
  <c r="AJ33" i="1"/>
  <c r="AJ35" i="1"/>
  <c r="AJ39" i="1"/>
  <c r="AJ41" i="1"/>
  <c r="AJ42" i="1"/>
  <c r="AJ27" i="1"/>
  <c r="Y29" i="1"/>
  <c r="Y30" i="1"/>
  <c r="Y31" i="1"/>
  <c r="Y32" i="1"/>
  <c r="Y33" i="1"/>
  <c r="Y37" i="1"/>
  <c r="Y39" i="1"/>
  <c r="Y40" i="1"/>
  <c r="Y41" i="1"/>
  <c r="Y27" i="1"/>
  <c r="X29" i="1"/>
  <c r="X32" i="1"/>
  <c r="X33" i="1"/>
  <c r="X39" i="1"/>
  <c r="X40" i="1"/>
  <c r="X41" i="1"/>
  <c r="X42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27" i="1"/>
  <c r="C33" i="1"/>
  <c r="U13" i="1"/>
  <c r="AI35" i="1" s="1"/>
  <c r="U14" i="1"/>
  <c r="AI36" i="1" s="1"/>
  <c r="U15" i="1"/>
  <c r="AI37" i="1" s="1"/>
  <c r="U16" i="1"/>
  <c r="U17" i="1"/>
  <c r="AI39" i="1" s="1"/>
  <c r="U18" i="1"/>
  <c r="AI40" i="1" s="1"/>
  <c r="U19" i="1"/>
  <c r="AI41" i="1" s="1"/>
  <c r="U20" i="1"/>
  <c r="AI42" i="1" s="1"/>
  <c r="U21" i="1"/>
  <c r="AI43" i="1" s="1"/>
  <c r="U12" i="1"/>
  <c r="AI34" i="1" s="1"/>
  <c r="U6" i="1"/>
  <c r="AI28" i="1" s="1"/>
  <c r="P13" i="1"/>
  <c r="X35" i="1" s="1"/>
  <c r="P14" i="1"/>
  <c r="X36" i="1" s="1"/>
  <c r="P15" i="1"/>
  <c r="X37" i="1" s="1"/>
  <c r="P16" i="1"/>
  <c r="X38" i="1" s="1"/>
  <c r="P17" i="1"/>
  <c r="P18" i="1"/>
  <c r="P19" i="1"/>
  <c r="P20" i="1"/>
  <c r="Y42" i="1" s="1"/>
  <c r="P21" i="1"/>
  <c r="X43" i="1" s="1"/>
  <c r="P12" i="1"/>
  <c r="X34" i="1" s="1"/>
  <c r="P10" i="1"/>
  <c r="AG4" i="1"/>
  <c r="W4" i="1"/>
  <c r="AB4" i="1"/>
  <c r="R4" i="1"/>
  <c r="U5" i="1" s="1"/>
  <c r="AI27" i="1" s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5" i="1"/>
  <c r="AA21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5" i="1"/>
  <c r="B21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4" i="1"/>
  <c r="M4" i="1"/>
  <c r="P5" i="1" s="1"/>
  <c r="X27" i="1" s="1"/>
  <c r="H4" i="1"/>
  <c r="K10" i="1" s="1"/>
  <c r="K13" i="1"/>
  <c r="K14" i="1"/>
  <c r="K15" i="1"/>
  <c r="K16" i="1"/>
  <c r="K17" i="1"/>
  <c r="K18" i="1"/>
  <c r="K19" i="1"/>
  <c r="K20" i="1"/>
  <c r="K21" i="1"/>
  <c r="K12" i="1"/>
  <c r="F13" i="1"/>
  <c r="C35" i="1" s="1"/>
  <c r="F14" i="1"/>
  <c r="C36" i="1" s="1"/>
  <c r="F15" i="1"/>
  <c r="C37" i="1" s="1"/>
  <c r="F16" i="1"/>
  <c r="C38" i="1" s="1"/>
  <c r="F17" i="1"/>
  <c r="C39" i="1" s="1"/>
  <c r="F18" i="1"/>
  <c r="C40" i="1" s="1"/>
  <c r="F19" i="1"/>
  <c r="C41" i="1" s="1"/>
  <c r="F20" i="1"/>
  <c r="C42" i="1" s="1"/>
  <c r="F21" i="1"/>
  <c r="C43" i="1" s="1"/>
  <c r="F12" i="1"/>
  <c r="C34" i="1" s="1"/>
  <c r="C4" i="1"/>
  <c r="F10" i="1" s="1"/>
  <c r="C32" i="1" s="1"/>
  <c r="BQ43" i="1" l="1"/>
  <c r="BQ39" i="1"/>
  <c r="BQ42" i="1"/>
  <c r="BQ38" i="1"/>
  <c r="BQ37" i="1"/>
  <c r="BQ36" i="1"/>
  <c r="BQ35" i="1"/>
  <c r="BQ32" i="1"/>
  <c r="BQ31" i="1"/>
  <c r="BQ30" i="1"/>
  <c r="BQ29" i="1"/>
  <c r="AU40" i="1"/>
  <c r="AU43" i="1"/>
  <c r="AU35" i="1"/>
  <c r="AU34" i="1"/>
  <c r="AU32" i="1"/>
  <c r="AU31" i="1"/>
  <c r="AT29" i="1"/>
  <c r="AT30" i="1"/>
  <c r="AU28" i="1"/>
  <c r="AU37" i="1"/>
  <c r="AU36" i="1"/>
  <c r="AJ43" i="1"/>
  <c r="Y43" i="1"/>
  <c r="Y38" i="1"/>
  <c r="AJ38" i="1"/>
  <c r="Y36" i="1"/>
  <c r="AJ34" i="1"/>
  <c r="Y34" i="1"/>
  <c r="AU27" i="1"/>
  <c r="AJ40" i="1"/>
  <c r="AJ37" i="1"/>
  <c r="AJ36" i="1"/>
  <c r="Y35" i="1"/>
  <c r="K5" i="1"/>
  <c r="U10" i="1"/>
  <c r="AI32" i="1" s="1"/>
  <c r="U9" i="1"/>
  <c r="U8" i="1"/>
  <c r="U7" i="1"/>
  <c r="P8" i="1"/>
  <c r="X30" i="1" s="1"/>
  <c r="P7" i="1"/>
  <c r="F7" i="1"/>
  <c r="C29" i="1" s="1"/>
  <c r="K8" i="1"/>
  <c r="F5" i="1"/>
  <c r="C27" i="1" s="1"/>
  <c r="F8" i="1"/>
  <c r="C30" i="1" s="1"/>
  <c r="K6" i="1"/>
  <c r="K9" i="1"/>
  <c r="K7" i="1"/>
  <c r="P9" i="1"/>
  <c r="X31" i="1" s="1"/>
  <c r="F9" i="1"/>
  <c r="C31" i="1" s="1"/>
  <c r="P6" i="1"/>
  <c r="F6" i="1"/>
  <c r="C28" i="1" s="1"/>
  <c r="X28" i="1" l="1"/>
  <c r="Y28" i="1"/>
  <c r="AJ28" i="1"/>
  <c r="AI30" i="1"/>
  <c r="AJ30" i="1"/>
  <c r="AI29" i="1"/>
  <c r="AJ29" i="1"/>
  <c r="AJ32" i="1"/>
  <c r="AJ31" i="1"/>
</calcChain>
</file>

<file path=xl/sharedStrings.xml><?xml version="1.0" encoding="utf-8"?>
<sst xmlns="http://schemas.openxmlformats.org/spreadsheetml/2006/main" count="386" uniqueCount="55">
  <si>
    <t>CONTROL DE ASENTAMIENTO ESTRUCTURAL</t>
  </si>
  <si>
    <t>3/24/2022</t>
  </si>
  <si>
    <t>3/31/2022</t>
  </si>
  <si>
    <t>4/12/2022</t>
  </si>
  <si>
    <t>PUNTO</t>
  </si>
  <si>
    <t>FECHA</t>
  </si>
  <si>
    <t>ALT. INS.</t>
  </si>
  <si>
    <t>V+</t>
  </si>
  <si>
    <t>LECTURA</t>
  </si>
  <si>
    <t>COTA</t>
  </si>
  <si>
    <t>BM</t>
  </si>
  <si>
    <t>A4(8-7A)</t>
  </si>
  <si>
    <t>A4(6B-6A)</t>
  </si>
  <si>
    <t>A4(5A-4B)</t>
  </si>
  <si>
    <t>A4(3B-4A)</t>
  </si>
  <si>
    <t>A4(3A-2B)</t>
  </si>
  <si>
    <t>A4(2A-1B)</t>
  </si>
  <si>
    <t>PISCINA/BM</t>
  </si>
  <si>
    <t>4/29/2022</t>
  </si>
  <si>
    <t>4/19/2022</t>
  </si>
  <si>
    <t>5/16/2022</t>
  </si>
  <si>
    <t>A1</t>
  </si>
  <si>
    <t>A2</t>
  </si>
  <si>
    <t>AA3</t>
  </si>
  <si>
    <t>B4</t>
  </si>
  <si>
    <t>B5</t>
  </si>
  <si>
    <t>B6</t>
  </si>
  <si>
    <t>B7</t>
  </si>
  <si>
    <t>B8</t>
  </si>
  <si>
    <t>B9</t>
  </si>
  <si>
    <t>B10</t>
  </si>
  <si>
    <t>Diferencia observada</t>
  </si>
  <si>
    <t>COMPARACION 
1</t>
  </si>
  <si>
    <t xml:space="preserve">DESCRIPCION </t>
  </si>
  <si>
    <t>Observacion</t>
  </si>
  <si>
    <t>NO aplica</t>
  </si>
  <si>
    <t>PRIMERA OBSERVACION, NO DATOS DE COMPARACION</t>
  </si>
  <si>
    <t>COMPARACION 
2</t>
  </si>
  <si>
    <t>ASENTAMIENTO</t>
  </si>
  <si>
    <t>NO CAMBIA</t>
  </si>
  <si>
    <t>REBOTE</t>
  </si>
  <si>
    <t>COMPARACION AL ANTERIOR</t>
  </si>
  <si>
    <t>COMPARACION 
3</t>
  </si>
  <si>
    <t>COMPARACION 
4</t>
  </si>
  <si>
    <t>COMPARACION 
5</t>
  </si>
  <si>
    <t>COMPARACION 
6</t>
  </si>
  <si>
    <t>COMPARACION 
7</t>
  </si>
  <si>
    <t>Sebote significativo en el punto</t>
  </si>
  <si>
    <t>Asentamiento destacado</t>
  </si>
  <si>
    <t>Asentamiento segnificativo</t>
  </si>
  <si>
    <t>ANOMALIA- SE RECOMIENDA REVISAR PUNTO- POSIBLE ERROR LECTURA</t>
  </si>
  <si>
    <t>ESTABILIZADO</t>
  </si>
  <si>
    <t>PUNTO CON MAYOR ASENTAMIENTO</t>
  </si>
  <si>
    <t>PUNTO DE CONTRO BM</t>
  </si>
  <si>
    <t>Si hubo error de lectura en el dato anterior- Ya se corriguo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</si>
</sst>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/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5400" cap="rnd" cmpd="sng" algn="ctr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'Control de asentamientos'!$L$27:$L$43</c:f>
              <c:strCache>
                <c:ptCount val="17"/>
                <c:pt idx="0">
                  <c:v>A4(8-7A)</c:v>
                </c:pt>
                <c:pt idx="1">
                  <c:v>A4(6B-6A)</c:v>
                </c:pt>
                <c:pt idx="2">
                  <c:v>A4(5A-4B)</c:v>
                </c:pt>
                <c:pt idx="3">
                  <c:v>A4(3B-4A)</c:v>
                </c:pt>
                <c:pt idx="4">
                  <c:v>A4(3A-2B)</c:v>
                </c:pt>
                <c:pt idx="5">
                  <c:v>A4(2A-1B)</c:v>
                </c:pt>
                <c:pt idx="6">
                  <c:v>PISCINA/BM</c:v>
                </c:pt>
                <c:pt idx="7">
                  <c:v>A1</c:v>
                </c:pt>
                <c:pt idx="8">
                  <c:v>A2</c:v>
                </c:pt>
                <c:pt idx="9">
                  <c:v>AA3</c:v>
                </c:pt>
                <c:pt idx="10">
                  <c:v>B4</c:v>
                </c:pt>
                <c:pt idx="11">
                  <c:v>B5</c:v>
                </c:pt>
                <c:pt idx="12">
                  <c:v>B6</c:v>
                </c:pt>
                <c:pt idx="13">
                  <c:v>B7</c:v>
                </c:pt>
                <c:pt idx="14">
                  <c:v>B8</c:v>
                </c:pt>
                <c:pt idx="15">
                  <c:v>B9</c:v>
                </c:pt>
                <c:pt idx="16">
                  <c:v>B10</c:v>
                </c:pt>
              </c:strCache>
            </c:strRef>
          </c:cat>
          <c:val>
            <c:numRef>
              <c:f>'Control de asentamientos'!$M$27:$M$43</c:f>
              <c:numCache>
                <c:formatCode>General</c:formatCode>
                <c:ptCount val="17"/>
                <c:pt idx="0">
                  <c:v>-1.0000000000047748E-3</c:v>
                </c:pt>
                <c:pt idx="1">
                  <c:v>-2.0000000000095497E-3</c:v>
                </c:pt>
                <c:pt idx="2">
                  <c:v>-1.0000000000047748E-3</c:v>
                </c:pt>
                <c:pt idx="3">
                  <c:v>0</c:v>
                </c:pt>
                <c:pt idx="4">
                  <c:v>0</c:v>
                </c:pt>
                <c:pt idx="5">
                  <c:v>-9.9999999997635314E-4</c:v>
                </c:pt>
                <c:pt idx="6">
                  <c:v>0</c:v>
                </c:pt>
                <c:pt idx="7">
                  <c:v>0</c:v>
                </c:pt>
                <c:pt idx="8">
                  <c:v>1.1000000000024102E-2</c:v>
                </c:pt>
                <c:pt idx="9">
                  <c:v>-1.999999999981128E-3</c:v>
                </c:pt>
                <c:pt idx="10">
                  <c:v>0</c:v>
                </c:pt>
                <c:pt idx="11">
                  <c:v>-1.999999999981128E-3</c:v>
                </c:pt>
                <c:pt idx="12">
                  <c:v>-2.9999999999859028E-3</c:v>
                </c:pt>
                <c:pt idx="13">
                  <c:v>1.0000000000331966E-3</c:v>
                </c:pt>
                <c:pt idx="14">
                  <c:v>3.0000000000143245E-3</c:v>
                </c:pt>
                <c:pt idx="15">
                  <c:v>0</c:v>
                </c:pt>
                <c:pt idx="16">
                  <c:v>-9.9999999999909051E-3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DA-4FB6-9AAE-B74BA7FCE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129248"/>
        <c:axId val="2035570176"/>
      </c:radarChart>
      <c:catAx>
        <c:axId val="26212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35570176"/>
        <c:crosses val="autoZero"/>
        <c:auto val="1"/>
        <c:lblAlgn val="ctr"/>
        <c:lblOffset val="100"/>
        <c:noMultiLvlLbl val="0"/>
      </c:catAx>
      <c:valAx>
        <c:axId val="203557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6212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'Control de asentamientos'!$W$27:$W$43</c:f>
              <c:strCache>
                <c:ptCount val="17"/>
                <c:pt idx="0">
                  <c:v>A4(8-7A)</c:v>
                </c:pt>
                <c:pt idx="1">
                  <c:v>A4(6B-6A)</c:v>
                </c:pt>
                <c:pt idx="2">
                  <c:v>A4(5A-4B)</c:v>
                </c:pt>
                <c:pt idx="3">
                  <c:v>A4(3B-4A)</c:v>
                </c:pt>
                <c:pt idx="4">
                  <c:v>A4(3A-2B)</c:v>
                </c:pt>
                <c:pt idx="5">
                  <c:v>A4(2A-1B)</c:v>
                </c:pt>
                <c:pt idx="6">
                  <c:v>PISCINA/BM</c:v>
                </c:pt>
                <c:pt idx="7">
                  <c:v>A1</c:v>
                </c:pt>
                <c:pt idx="8">
                  <c:v>A2</c:v>
                </c:pt>
                <c:pt idx="9">
                  <c:v>AA3</c:v>
                </c:pt>
                <c:pt idx="10">
                  <c:v>B4</c:v>
                </c:pt>
                <c:pt idx="11">
                  <c:v>B5</c:v>
                </c:pt>
                <c:pt idx="12">
                  <c:v>B6</c:v>
                </c:pt>
                <c:pt idx="13">
                  <c:v>B7</c:v>
                </c:pt>
                <c:pt idx="14">
                  <c:v>B8</c:v>
                </c:pt>
                <c:pt idx="15">
                  <c:v>B9</c:v>
                </c:pt>
                <c:pt idx="16">
                  <c:v>B10</c:v>
                </c:pt>
              </c:strCache>
            </c:strRef>
          </c:xVal>
          <c:yVal>
            <c:numRef>
              <c:f>'Control de asentamientos'!$X$27:$X$43</c:f>
              <c:numCache>
                <c:formatCode>General</c:formatCode>
                <c:ptCount val="17"/>
                <c:pt idx="0">
                  <c:v>-1.0000000000047748E-3</c:v>
                </c:pt>
                <c:pt idx="1">
                  <c:v>-3.0000000000143245E-3</c:v>
                </c:pt>
                <c:pt idx="2">
                  <c:v>-7.0000000000050022E-3</c:v>
                </c:pt>
                <c:pt idx="3">
                  <c:v>-1.0000000000047748E-3</c:v>
                </c:pt>
                <c:pt idx="4">
                  <c:v>-1.0000000000047748E-3</c:v>
                </c:pt>
                <c:pt idx="5">
                  <c:v>-9.9999999999909051E-3</c:v>
                </c:pt>
                <c:pt idx="6">
                  <c:v>0</c:v>
                </c:pt>
                <c:pt idx="7">
                  <c:v>-2.0000000000095497E-3</c:v>
                </c:pt>
                <c:pt idx="8">
                  <c:v>1.0000000000019327E-2</c:v>
                </c:pt>
                <c:pt idx="9">
                  <c:v>-3.9999999999906777E-3</c:v>
                </c:pt>
                <c:pt idx="10">
                  <c:v>-1.0000000000047748E-3</c:v>
                </c:pt>
                <c:pt idx="11">
                  <c:v>-4.9999999999954525E-3</c:v>
                </c:pt>
                <c:pt idx="12">
                  <c:v>-6.0000000000002274E-3</c:v>
                </c:pt>
                <c:pt idx="13">
                  <c:v>1.0000000000047748E-3</c:v>
                </c:pt>
                <c:pt idx="14">
                  <c:v>2.9999999999859028E-3</c:v>
                </c:pt>
                <c:pt idx="15">
                  <c:v>-1.0000000000047748E-3</c:v>
                </c:pt>
                <c:pt idx="16">
                  <c:v>-6.0000000000002274E-2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C8-4AD6-8B23-BACCB26DE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52192"/>
        <c:axId val="2144179360"/>
      </c:scatterChart>
      <c:valAx>
        <c:axId val="20155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4179360"/>
        <c:crosses val="autoZero"/>
        <c:crossBetween val="midCat"/>
      </c:valAx>
      <c:valAx>
        <c:axId val="214417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1552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'Control de asentamientos'!$AH$27:$AH$43</c:f>
              <c:strCache>
                <c:ptCount val="17"/>
                <c:pt idx="0">
                  <c:v>A4(8-7A)</c:v>
                </c:pt>
                <c:pt idx="1">
                  <c:v>A4(6B-6A)</c:v>
                </c:pt>
                <c:pt idx="2">
                  <c:v>A4(5A-4B)</c:v>
                </c:pt>
                <c:pt idx="3">
                  <c:v>A4(3B-4A)</c:v>
                </c:pt>
                <c:pt idx="4">
                  <c:v>A4(3A-2B)</c:v>
                </c:pt>
                <c:pt idx="5">
                  <c:v>A4(2A-1B)</c:v>
                </c:pt>
                <c:pt idx="6">
                  <c:v>PISCINA/BM</c:v>
                </c:pt>
                <c:pt idx="7">
                  <c:v>A1</c:v>
                </c:pt>
                <c:pt idx="8">
                  <c:v>A2</c:v>
                </c:pt>
                <c:pt idx="9">
                  <c:v>AA3</c:v>
                </c:pt>
                <c:pt idx="10">
                  <c:v>B4</c:v>
                </c:pt>
                <c:pt idx="11">
                  <c:v>B5</c:v>
                </c:pt>
                <c:pt idx="12">
                  <c:v>B6</c:v>
                </c:pt>
                <c:pt idx="13">
                  <c:v>B7</c:v>
                </c:pt>
                <c:pt idx="14">
                  <c:v>B8</c:v>
                </c:pt>
                <c:pt idx="15">
                  <c:v>B9</c:v>
                </c:pt>
                <c:pt idx="16">
                  <c:v>B10</c:v>
                </c:pt>
              </c:strCache>
            </c:strRef>
          </c:xVal>
          <c:yVal>
            <c:numRef>
              <c:f>'Control de asentamientos'!$AI$27:$AI$43</c:f>
              <c:numCache>
                <c:formatCode>General</c:formatCode>
                <c:ptCount val="17"/>
                <c:pt idx="0">
                  <c:v>-2.9999999999859028E-3</c:v>
                </c:pt>
                <c:pt idx="1">
                  <c:v>-8.9999999999861302E-3</c:v>
                </c:pt>
                <c:pt idx="2">
                  <c:v>-8.9999999999861302E-3</c:v>
                </c:pt>
                <c:pt idx="3">
                  <c:v>-1.999999999981128E-3</c:v>
                </c:pt>
                <c:pt idx="4">
                  <c:v>-2.9999999999859028E-3</c:v>
                </c:pt>
                <c:pt idx="5">
                  <c:v>-1.1999999999972033E-2</c:v>
                </c:pt>
                <c:pt idx="6">
                  <c:v>0</c:v>
                </c:pt>
                <c:pt idx="7">
                  <c:v>-2.9999999999859028E-3</c:v>
                </c:pt>
                <c:pt idx="8">
                  <c:v>1.1000000000024102E-2</c:v>
                </c:pt>
                <c:pt idx="9">
                  <c:v>-3.999999999962256E-3</c:v>
                </c:pt>
                <c:pt idx="10">
                  <c:v>-1.999999999981128E-3</c:v>
                </c:pt>
                <c:pt idx="11">
                  <c:v>-1.999999999981128E-3</c:v>
                </c:pt>
                <c:pt idx="12">
                  <c:v>-4.9999999999670308E-3</c:v>
                </c:pt>
                <c:pt idx="13">
                  <c:v>2.0000000000379714E-3</c:v>
                </c:pt>
                <c:pt idx="14">
                  <c:v>4.0000000000190994E-3</c:v>
                </c:pt>
                <c:pt idx="15">
                  <c:v>-2.9999999999859028E-3</c:v>
                </c:pt>
                <c:pt idx="16">
                  <c:v>-1.4999999999986358E-2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90-426B-8524-79A595889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764368"/>
        <c:axId val="2143947424"/>
      </c:scatterChart>
      <c:valAx>
        <c:axId val="27576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3947424"/>
        <c:crosses val="autoZero"/>
        <c:crossBetween val="midCat"/>
      </c:valAx>
      <c:valAx>
        <c:axId val="214394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5764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'Control de asentamientos'!$AS$27:$AS$43</c:f>
              <c:strCache>
                <c:ptCount val="17"/>
                <c:pt idx="0">
                  <c:v>A4(8-7A)</c:v>
                </c:pt>
                <c:pt idx="1">
                  <c:v>A4(6B-6A)</c:v>
                </c:pt>
                <c:pt idx="2">
                  <c:v>A4(5A-4B)</c:v>
                </c:pt>
                <c:pt idx="3">
                  <c:v>A4(3B-4A)</c:v>
                </c:pt>
                <c:pt idx="4">
                  <c:v>A4(3A-2B)</c:v>
                </c:pt>
                <c:pt idx="5">
                  <c:v>A4(2A-1B)</c:v>
                </c:pt>
                <c:pt idx="6">
                  <c:v>PISCINA/BM</c:v>
                </c:pt>
                <c:pt idx="7">
                  <c:v>A1</c:v>
                </c:pt>
                <c:pt idx="8">
                  <c:v>A2</c:v>
                </c:pt>
                <c:pt idx="9">
                  <c:v>AA3</c:v>
                </c:pt>
                <c:pt idx="10">
                  <c:v>B4</c:v>
                </c:pt>
                <c:pt idx="11">
                  <c:v>B5</c:v>
                </c:pt>
                <c:pt idx="12">
                  <c:v>B6</c:v>
                </c:pt>
                <c:pt idx="13">
                  <c:v>B7</c:v>
                </c:pt>
                <c:pt idx="14">
                  <c:v>B8</c:v>
                </c:pt>
                <c:pt idx="15">
                  <c:v>B9</c:v>
                </c:pt>
                <c:pt idx="16">
                  <c:v>B10</c:v>
                </c:pt>
              </c:strCache>
            </c:strRef>
          </c:xVal>
          <c:yVal>
            <c:numRef>
              <c:f>'Control de asentamientos'!$AT$27:$AT$43</c:f>
              <c:numCache>
                <c:formatCode>General</c:formatCode>
                <c:ptCount val="17"/>
                <c:pt idx="0">
                  <c:v>-4.9999999999954525E-3</c:v>
                </c:pt>
                <c:pt idx="1">
                  <c:v>-1.300000000000523E-2</c:v>
                </c:pt>
                <c:pt idx="2">
                  <c:v>-1.4999999999986358E-2</c:v>
                </c:pt>
                <c:pt idx="3">
                  <c:v>-2.9999999999859028E-3</c:v>
                </c:pt>
                <c:pt idx="4">
                  <c:v>-3.9999999999906777E-3</c:v>
                </c:pt>
                <c:pt idx="5">
                  <c:v>-1.3999999999981583E-2</c:v>
                </c:pt>
                <c:pt idx="6">
                  <c:v>0</c:v>
                </c:pt>
                <c:pt idx="7">
                  <c:v>-5.9999999999718057E-3</c:v>
                </c:pt>
                <c:pt idx="8">
                  <c:v>1.0000000000019327E-2</c:v>
                </c:pt>
                <c:pt idx="9">
                  <c:v>-3.999999999962256E-3</c:v>
                </c:pt>
                <c:pt idx="10">
                  <c:v>-1.999999999981128E-3</c:v>
                </c:pt>
                <c:pt idx="11">
                  <c:v>-1.999999999981128E-3</c:v>
                </c:pt>
                <c:pt idx="12">
                  <c:v>-5.9999999999718057E-3</c:v>
                </c:pt>
                <c:pt idx="13">
                  <c:v>1.0000000000331966E-3</c:v>
                </c:pt>
                <c:pt idx="14">
                  <c:v>3.0000000000143245E-3</c:v>
                </c:pt>
                <c:pt idx="15">
                  <c:v>-3.999999999962256E-3</c:v>
                </c:pt>
                <c:pt idx="16">
                  <c:v>-1.4999999999986358E-2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79-4B07-8AE1-95102D317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763904"/>
        <c:axId val="2035567296"/>
      </c:scatterChart>
      <c:valAx>
        <c:axId val="27576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35567296"/>
        <c:crosses val="autoZero"/>
        <c:crossBetween val="midCat"/>
      </c:valAx>
      <c:valAx>
        <c:axId val="203556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5763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'Control de asentamientos'!$BD$27:$BD$43</c:f>
              <c:strCache>
                <c:ptCount val="17"/>
                <c:pt idx="0">
                  <c:v>A4(8-7A)</c:v>
                </c:pt>
                <c:pt idx="1">
                  <c:v>A4(6B-6A)</c:v>
                </c:pt>
                <c:pt idx="2">
                  <c:v>A4(5A-4B)</c:v>
                </c:pt>
                <c:pt idx="3">
                  <c:v>A4(3B-4A)</c:v>
                </c:pt>
                <c:pt idx="4">
                  <c:v>A4(3A-2B)</c:v>
                </c:pt>
                <c:pt idx="5">
                  <c:v>A4(2A-1B)</c:v>
                </c:pt>
                <c:pt idx="6">
                  <c:v>PISCINA/BM</c:v>
                </c:pt>
                <c:pt idx="7">
                  <c:v>A1</c:v>
                </c:pt>
                <c:pt idx="8">
                  <c:v>A2</c:v>
                </c:pt>
                <c:pt idx="9">
                  <c:v>AA3</c:v>
                </c:pt>
                <c:pt idx="10">
                  <c:v>B4</c:v>
                </c:pt>
                <c:pt idx="11">
                  <c:v>B5</c:v>
                </c:pt>
                <c:pt idx="12">
                  <c:v>B6</c:v>
                </c:pt>
                <c:pt idx="13">
                  <c:v>B7</c:v>
                </c:pt>
                <c:pt idx="14">
                  <c:v>B8</c:v>
                </c:pt>
                <c:pt idx="15">
                  <c:v>B9</c:v>
                </c:pt>
                <c:pt idx="16">
                  <c:v>B10</c:v>
                </c:pt>
              </c:strCache>
            </c:strRef>
          </c:xVal>
          <c:yVal>
            <c:numRef>
              <c:f>'Control de asentamientos'!$BE$27:$BE$43</c:f>
              <c:numCache>
                <c:formatCode>General</c:formatCode>
                <c:ptCount val="17"/>
                <c:pt idx="0">
                  <c:v>-6.0000000000002274E-3</c:v>
                </c:pt>
                <c:pt idx="1">
                  <c:v>-1.4000000000010004E-2</c:v>
                </c:pt>
                <c:pt idx="2">
                  <c:v>-1.6999999999995907E-2</c:v>
                </c:pt>
                <c:pt idx="3">
                  <c:v>-3.9999999999906777E-3</c:v>
                </c:pt>
                <c:pt idx="4">
                  <c:v>-4.9999999999954525E-3</c:v>
                </c:pt>
                <c:pt idx="5">
                  <c:v>-1.4999999999986358E-2</c:v>
                </c:pt>
                <c:pt idx="6">
                  <c:v>0</c:v>
                </c:pt>
                <c:pt idx="7">
                  <c:v>-7.9999999999813554E-3</c:v>
                </c:pt>
                <c:pt idx="8">
                  <c:v>1.2000000000028876E-2</c:v>
                </c:pt>
                <c:pt idx="9">
                  <c:v>-4.9999999999670308E-3</c:v>
                </c:pt>
                <c:pt idx="10">
                  <c:v>-2.9999999999859028E-3</c:v>
                </c:pt>
                <c:pt idx="11">
                  <c:v>-2.9999999999859028E-3</c:v>
                </c:pt>
                <c:pt idx="12">
                  <c:v>-6.9999999999765805E-3</c:v>
                </c:pt>
                <c:pt idx="13">
                  <c:v>1.0000000000331966E-3</c:v>
                </c:pt>
                <c:pt idx="14">
                  <c:v>3.0000000000143245E-3</c:v>
                </c:pt>
                <c:pt idx="15">
                  <c:v>-4.9999999999670308E-3</c:v>
                </c:pt>
                <c:pt idx="16">
                  <c:v>-1.5999999999991132E-2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1F-4AB2-AD27-65D5710F8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41984"/>
        <c:axId val="2035581696"/>
      </c:scatterChart>
      <c:valAx>
        <c:axId val="20154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35581696"/>
        <c:crosses val="autoZero"/>
        <c:crossBetween val="midCat"/>
      </c:valAx>
      <c:valAx>
        <c:axId val="203558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1541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'Control de asentamientos'!$BO$27:$BO$43</c:f>
              <c:strCache>
                <c:ptCount val="17"/>
                <c:pt idx="0">
                  <c:v>A4(8-7A)</c:v>
                </c:pt>
                <c:pt idx="1">
                  <c:v>A4(6B-6A)</c:v>
                </c:pt>
                <c:pt idx="2">
                  <c:v>A4(5A-4B)</c:v>
                </c:pt>
                <c:pt idx="3">
                  <c:v>A4(3B-4A)</c:v>
                </c:pt>
                <c:pt idx="4">
                  <c:v>A4(3A-2B)</c:v>
                </c:pt>
                <c:pt idx="5">
                  <c:v>A4(2A-1B)</c:v>
                </c:pt>
                <c:pt idx="6">
                  <c:v>PISCINA/BM</c:v>
                </c:pt>
                <c:pt idx="7">
                  <c:v>A1</c:v>
                </c:pt>
                <c:pt idx="8">
                  <c:v>A2</c:v>
                </c:pt>
                <c:pt idx="9">
                  <c:v>AA3</c:v>
                </c:pt>
                <c:pt idx="10">
                  <c:v>B4</c:v>
                </c:pt>
                <c:pt idx="11">
                  <c:v>B5</c:v>
                </c:pt>
                <c:pt idx="12">
                  <c:v>B6</c:v>
                </c:pt>
                <c:pt idx="13">
                  <c:v>B7</c:v>
                </c:pt>
                <c:pt idx="14">
                  <c:v>B8</c:v>
                </c:pt>
                <c:pt idx="15">
                  <c:v>B9</c:v>
                </c:pt>
                <c:pt idx="16">
                  <c:v>B10</c:v>
                </c:pt>
              </c:strCache>
            </c:strRef>
          </c:xVal>
          <c:yVal>
            <c:numRef>
              <c:f>'Control de asentamientos'!$BP$27:$BP$43</c:f>
              <c:numCache>
                <c:formatCode>General</c:formatCode>
                <c:ptCount val="17"/>
                <c:pt idx="0">
                  <c:v>-7.0000000000050022E-3</c:v>
                </c:pt>
                <c:pt idx="1">
                  <c:v>-1.4000000000010004E-2</c:v>
                </c:pt>
                <c:pt idx="2">
                  <c:v>-1.6999999999995907E-2</c:v>
                </c:pt>
                <c:pt idx="3">
                  <c:v>-4.9999999999954525E-3</c:v>
                </c:pt>
                <c:pt idx="4">
                  <c:v>-4.9999999999954525E-3</c:v>
                </c:pt>
                <c:pt idx="5">
                  <c:v>-1.4999999999986358E-2</c:v>
                </c:pt>
                <c:pt idx="6">
                  <c:v>0</c:v>
                </c:pt>
                <c:pt idx="7">
                  <c:v>-8.9999999999861302E-3</c:v>
                </c:pt>
                <c:pt idx="8">
                  <c:v>1.2000000000028876E-2</c:v>
                </c:pt>
                <c:pt idx="9">
                  <c:v>-5.9999999999718057E-3</c:v>
                </c:pt>
                <c:pt idx="10">
                  <c:v>-3.0000000000143245E-3</c:v>
                </c:pt>
                <c:pt idx="11">
                  <c:v>-3.9999999999906777E-3</c:v>
                </c:pt>
                <c:pt idx="12">
                  <c:v>-6.9999999999765805E-3</c:v>
                </c:pt>
                <c:pt idx="13">
                  <c:v>1.0000000000331966E-3</c:v>
                </c:pt>
                <c:pt idx="14">
                  <c:v>3.0000000000143245E-3</c:v>
                </c:pt>
                <c:pt idx="15">
                  <c:v>-4.9999999999954525E-3</c:v>
                </c:pt>
                <c:pt idx="16">
                  <c:v>-1.6999999999995907E-2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7F-47B0-8B85-81C61D9CE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944592"/>
        <c:axId val="2143942624"/>
      </c:scatterChart>
      <c:valAx>
        <c:axId val="21794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3942624"/>
        <c:crosses val="autoZero"/>
        <c:crossBetween val="midCat"/>
      </c:valAx>
      <c:valAx>
        <c:axId val="214394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794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'Control de asentamientos'!$L$27:$L$43</c:f>
              <c:strCache>
                <c:ptCount val="17"/>
                <c:pt idx="0">
                  <c:v>A4(8-7A)</c:v>
                </c:pt>
                <c:pt idx="1">
                  <c:v>A4(6B-6A)</c:v>
                </c:pt>
                <c:pt idx="2">
                  <c:v>A4(5A-4B)</c:v>
                </c:pt>
                <c:pt idx="3">
                  <c:v>A4(3B-4A)</c:v>
                </c:pt>
                <c:pt idx="4">
                  <c:v>A4(3A-2B)</c:v>
                </c:pt>
                <c:pt idx="5">
                  <c:v>A4(2A-1B)</c:v>
                </c:pt>
                <c:pt idx="6">
                  <c:v>PISCINA/BM</c:v>
                </c:pt>
                <c:pt idx="7">
                  <c:v>A1</c:v>
                </c:pt>
                <c:pt idx="8">
                  <c:v>A2</c:v>
                </c:pt>
                <c:pt idx="9">
                  <c:v>AA3</c:v>
                </c:pt>
                <c:pt idx="10">
                  <c:v>B4</c:v>
                </c:pt>
                <c:pt idx="11">
                  <c:v>B5</c:v>
                </c:pt>
                <c:pt idx="12">
                  <c:v>B6</c:v>
                </c:pt>
                <c:pt idx="13">
                  <c:v>B7</c:v>
                </c:pt>
                <c:pt idx="14">
                  <c:v>B8</c:v>
                </c:pt>
                <c:pt idx="15">
                  <c:v>B9</c:v>
                </c:pt>
                <c:pt idx="16">
                  <c:v>B10</c:v>
                </c:pt>
              </c:strCache>
            </c:strRef>
          </c:xVal>
          <c:yVal>
            <c:numRef>
              <c:f>'Control de asentamientos'!$M$27:$M$43</c:f>
              <c:numCache>
                <c:formatCode>General</c:formatCode>
                <c:ptCount val="17"/>
                <c:pt idx="0">
                  <c:v>-1.0000000000047748E-3</c:v>
                </c:pt>
                <c:pt idx="1">
                  <c:v>-2.0000000000095497E-3</c:v>
                </c:pt>
                <c:pt idx="2">
                  <c:v>-1.0000000000047748E-3</c:v>
                </c:pt>
                <c:pt idx="3">
                  <c:v>0</c:v>
                </c:pt>
                <c:pt idx="4">
                  <c:v>0</c:v>
                </c:pt>
                <c:pt idx="5">
                  <c:v>-9.9999999997635314E-4</c:v>
                </c:pt>
                <c:pt idx="6">
                  <c:v>0</c:v>
                </c:pt>
                <c:pt idx="7">
                  <c:v>0</c:v>
                </c:pt>
                <c:pt idx="8">
                  <c:v>1.1000000000024102E-2</c:v>
                </c:pt>
                <c:pt idx="9">
                  <c:v>-1.999999999981128E-3</c:v>
                </c:pt>
                <c:pt idx="10">
                  <c:v>0</c:v>
                </c:pt>
                <c:pt idx="11">
                  <c:v>-1.999999999981128E-3</c:v>
                </c:pt>
                <c:pt idx="12">
                  <c:v>-2.9999999999859028E-3</c:v>
                </c:pt>
                <c:pt idx="13">
                  <c:v>1.0000000000331966E-3</c:v>
                </c:pt>
                <c:pt idx="14">
                  <c:v>3.0000000000143245E-3</c:v>
                </c:pt>
                <c:pt idx="15">
                  <c:v>0</c:v>
                </c:pt>
                <c:pt idx="16">
                  <c:v>-9.9999999999909051E-3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AE-4224-B9E6-53EF5D16AF95}"/>
            </c:ext>
          </c:extLst>
        </c:ser>
        <c:ser>
          <c:idx val="1"/>
          <c:order val="1"/>
          <c:tx>
            <c:v>COMPARACION 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'Control de asentamientos'!$W$27:$W$43</c:f>
              <c:strCache>
                <c:ptCount val="17"/>
                <c:pt idx="0">
                  <c:v>A4(8-7A)</c:v>
                </c:pt>
                <c:pt idx="1">
                  <c:v>A4(6B-6A)</c:v>
                </c:pt>
                <c:pt idx="2">
                  <c:v>A4(5A-4B)</c:v>
                </c:pt>
                <c:pt idx="3">
                  <c:v>A4(3B-4A)</c:v>
                </c:pt>
                <c:pt idx="4">
                  <c:v>A4(3A-2B)</c:v>
                </c:pt>
                <c:pt idx="5">
                  <c:v>A4(2A-1B)</c:v>
                </c:pt>
                <c:pt idx="6">
                  <c:v>PISCINA/BM</c:v>
                </c:pt>
                <c:pt idx="7">
                  <c:v>A1</c:v>
                </c:pt>
                <c:pt idx="8">
                  <c:v>A2</c:v>
                </c:pt>
                <c:pt idx="9">
                  <c:v>AA3</c:v>
                </c:pt>
                <c:pt idx="10">
                  <c:v>B4</c:v>
                </c:pt>
                <c:pt idx="11">
                  <c:v>B5</c:v>
                </c:pt>
                <c:pt idx="12">
                  <c:v>B6</c:v>
                </c:pt>
                <c:pt idx="13">
                  <c:v>B7</c:v>
                </c:pt>
                <c:pt idx="14">
                  <c:v>B8</c:v>
                </c:pt>
                <c:pt idx="15">
                  <c:v>B9</c:v>
                </c:pt>
                <c:pt idx="16">
                  <c:v>B10</c:v>
                </c:pt>
              </c:strCache>
            </c:strRef>
          </c:xVal>
          <c:yVal>
            <c:numRef>
              <c:f>'Control de asentamientos'!$X$27:$X$43</c:f>
              <c:numCache>
                <c:formatCode>General</c:formatCode>
                <c:ptCount val="17"/>
                <c:pt idx="0">
                  <c:v>-1.0000000000047748E-3</c:v>
                </c:pt>
                <c:pt idx="1">
                  <c:v>-3.0000000000143245E-3</c:v>
                </c:pt>
                <c:pt idx="2">
                  <c:v>-7.0000000000050022E-3</c:v>
                </c:pt>
                <c:pt idx="3">
                  <c:v>-1.0000000000047748E-3</c:v>
                </c:pt>
                <c:pt idx="4">
                  <c:v>-1.0000000000047748E-3</c:v>
                </c:pt>
                <c:pt idx="5">
                  <c:v>-9.9999999999909051E-3</c:v>
                </c:pt>
                <c:pt idx="6">
                  <c:v>0</c:v>
                </c:pt>
                <c:pt idx="7">
                  <c:v>-2.0000000000095497E-3</c:v>
                </c:pt>
                <c:pt idx="8">
                  <c:v>1.0000000000019327E-2</c:v>
                </c:pt>
                <c:pt idx="9">
                  <c:v>-3.9999999999906777E-3</c:v>
                </c:pt>
                <c:pt idx="10">
                  <c:v>-1.0000000000047748E-3</c:v>
                </c:pt>
                <c:pt idx="11">
                  <c:v>-4.9999999999954525E-3</c:v>
                </c:pt>
                <c:pt idx="12">
                  <c:v>-6.0000000000002274E-3</c:v>
                </c:pt>
                <c:pt idx="13">
                  <c:v>1.0000000000047748E-3</c:v>
                </c:pt>
                <c:pt idx="14">
                  <c:v>2.9999999999859028E-3</c:v>
                </c:pt>
                <c:pt idx="15">
                  <c:v>-1.0000000000047748E-3</c:v>
                </c:pt>
                <c:pt idx="16">
                  <c:v>-6.0000000000002274E-2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1AE-4224-B9E6-53EF5D16AF95}"/>
            </c:ext>
          </c:extLst>
        </c:ser>
        <c:ser>
          <c:idx val="2"/>
          <c:order val="2"/>
          <c:tx>
            <c:v>COMPARACION 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'Control de asentamientos'!$AH$27:$AH$43</c:f>
              <c:strCache>
                <c:ptCount val="17"/>
                <c:pt idx="0">
                  <c:v>A4(8-7A)</c:v>
                </c:pt>
                <c:pt idx="1">
                  <c:v>A4(6B-6A)</c:v>
                </c:pt>
                <c:pt idx="2">
                  <c:v>A4(5A-4B)</c:v>
                </c:pt>
                <c:pt idx="3">
                  <c:v>A4(3B-4A)</c:v>
                </c:pt>
                <c:pt idx="4">
                  <c:v>A4(3A-2B)</c:v>
                </c:pt>
                <c:pt idx="5">
                  <c:v>A4(2A-1B)</c:v>
                </c:pt>
                <c:pt idx="6">
                  <c:v>PISCINA/BM</c:v>
                </c:pt>
                <c:pt idx="7">
                  <c:v>A1</c:v>
                </c:pt>
                <c:pt idx="8">
                  <c:v>A2</c:v>
                </c:pt>
                <c:pt idx="9">
                  <c:v>AA3</c:v>
                </c:pt>
                <c:pt idx="10">
                  <c:v>B4</c:v>
                </c:pt>
                <c:pt idx="11">
                  <c:v>B5</c:v>
                </c:pt>
                <c:pt idx="12">
                  <c:v>B6</c:v>
                </c:pt>
                <c:pt idx="13">
                  <c:v>B7</c:v>
                </c:pt>
                <c:pt idx="14">
                  <c:v>B8</c:v>
                </c:pt>
                <c:pt idx="15">
                  <c:v>B9</c:v>
                </c:pt>
                <c:pt idx="16">
                  <c:v>B10</c:v>
                </c:pt>
              </c:strCache>
            </c:strRef>
          </c:xVal>
          <c:yVal>
            <c:numRef>
              <c:f>'Control de asentamientos'!$AI$27:$AI$43</c:f>
              <c:numCache>
                <c:formatCode>General</c:formatCode>
                <c:ptCount val="17"/>
                <c:pt idx="0">
                  <c:v>-2.9999999999859028E-3</c:v>
                </c:pt>
                <c:pt idx="1">
                  <c:v>-8.9999999999861302E-3</c:v>
                </c:pt>
                <c:pt idx="2">
                  <c:v>-8.9999999999861302E-3</c:v>
                </c:pt>
                <c:pt idx="3">
                  <c:v>-1.999999999981128E-3</c:v>
                </c:pt>
                <c:pt idx="4">
                  <c:v>-2.9999999999859028E-3</c:v>
                </c:pt>
                <c:pt idx="5">
                  <c:v>-1.1999999999972033E-2</c:v>
                </c:pt>
                <c:pt idx="6">
                  <c:v>0</c:v>
                </c:pt>
                <c:pt idx="7">
                  <c:v>-2.9999999999859028E-3</c:v>
                </c:pt>
                <c:pt idx="8">
                  <c:v>1.1000000000024102E-2</c:v>
                </c:pt>
                <c:pt idx="9">
                  <c:v>-3.999999999962256E-3</c:v>
                </c:pt>
                <c:pt idx="10">
                  <c:v>-1.999999999981128E-3</c:v>
                </c:pt>
                <c:pt idx="11">
                  <c:v>-1.999999999981128E-3</c:v>
                </c:pt>
                <c:pt idx="12">
                  <c:v>-4.9999999999670308E-3</c:v>
                </c:pt>
                <c:pt idx="13">
                  <c:v>2.0000000000379714E-3</c:v>
                </c:pt>
                <c:pt idx="14">
                  <c:v>4.0000000000190994E-3</c:v>
                </c:pt>
                <c:pt idx="15">
                  <c:v>-2.9999999999859028E-3</c:v>
                </c:pt>
                <c:pt idx="16">
                  <c:v>-1.4999999999986358E-2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1AE-4224-B9E6-53EF5D16AF95}"/>
            </c:ext>
          </c:extLst>
        </c:ser>
        <c:ser>
          <c:idx val="3"/>
          <c:order val="3"/>
          <c:tx>
            <c:v>COMPARACION 5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'Control de asentamientos'!$AS$27:$AS$43</c:f>
              <c:strCache>
                <c:ptCount val="17"/>
                <c:pt idx="0">
                  <c:v>A4(8-7A)</c:v>
                </c:pt>
                <c:pt idx="1">
                  <c:v>A4(6B-6A)</c:v>
                </c:pt>
                <c:pt idx="2">
                  <c:v>A4(5A-4B)</c:v>
                </c:pt>
                <c:pt idx="3">
                  <c:v>A4(3B-4A)</c:v>
                </c:pt>
                <c:pt idx="4">
                  <c:v>A4(3A-2B)</c:v>
                </c:pt>
                <c:pt idx="5">
                  <c:v>A4(2A-1B)</c:v>
                </c:pt>
                <c:pt idx="6">
                  <c:v>PISCINA/BM</c:v>
                </c:pt>
                <c:pt idx="7">
                  <c:v>A1</c:v>
                </c:pt>
                <c:pt idx="8">
                  <c:v>A2</c:v>
                </c:pt>
                <c:pt idx="9">
                  <c:v>AA3</c:v>
                </c:pt>
                <c:pt idx="10">
                  <c:v>B4</c:v>
                </c:pt>
                <c:pt idx="11">
                  <c:v>B5</c:v>
                </c:pt>
                <c:pt idx="12">
                  <c:v>B6</c:v>
                </c:pt>
                <c:pt idx="13">
                  <c:v>B7</c:v>
                </c:pt>
                <c:pt idx="14">
                  <c:v>B8</c:v>
                </c:pt>
                <c:pt idx="15">
                  <c:v>B9</c:v>
                </c:pt>
                <c:pt idx="16">
                  <c:v>B10</c:v>
                </c:pt>
              </c:strCache>
            </c:strRef>
          </c:xVal>
          <c:yVal>
            <c:numRef>
              <c:f>'Control de asentamientos'!$AT$27:$AT$43</c:f>
              <c:numCache>
                <c:formatCode>General</c:formatCode>
                <c:ptCount val="17"/>
                <c:pt idx="0">
                  <c:v>-4.9999999999954525E-3</c:v>
                </c:pt>
                <c:pt idx="1">
                  <c:v>-1.300000000000523E-2</c:v>
                </c:pt>
                <c:pt idx="2">
                  <c:v>-1.4999999999986358E-2</c:v>
                </c:pt>
                <c:pt idx="3">
                  <c:v>-2.9999999999859028E-3</c:v>
                </c:pt>
                <c:pt idx="4">
                  <c:v>-3.9999999999906777E-3</c:v>
                </c:pt>
                <c:pt idx="5">
                  <c:v>-1.3999999999981583E-2</c:v>
                </c:pt>
                <c:pt idx="6">
                  <c:v>0</c:v>
                </c:pt>
                <c:pt idx="7">
                  <c:v>-5.9999999999718057E-3</c:v>
                </c:pt>
                <c:pt idx="8">
                  <c:v>1.0000000000019327E-2</c:v>
                </c:pt>
                <c:pt idx="9">
                  <c:v>-3.999999999962256E-3</c:v>
                </c:pt>
                <c:pt idx="10">
                  <c:v>-1.999999999981128E-3</c:v>
                </c:pt>
                <c:pt idx="11">
                  <c:v>-1.999999999981128E-3</c:v>
                </c:pt>
                <c:pt idx="12">
                  <c:v>-5.9999999999718057E-3</c:v>
                </c:pt>
                <c:pt idx="13">
                  <c:v>1.0000000000331966E-3</c:v>
                </c:pt>
                <c:pt idx="14">
                  <c:v>3.0000000000143245E-3</c:v>
                </c:pt>
                <c:pt idx="15">
                  <c:v>-3.999999999962256E-3</c:v>
                </c:pt>
                <c:pt idx="16">
                  <c:v>-1.4999999999986358E-2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1AE-4224-B9E6-53EF5D16AF95}"/>
            </c:ext>
          </c:extLst>
        </c:ser>
        <c:ser>
          <c:idx val="4"/>
          <c:order val="4"/>
          <c:tx>
            <c:v>COMPARACION 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'Control de asentamientos'!$BD$27:$BD$43</c:f>
              <c:strCache>
                <c:ptCount val="17"/>
                <c:pt idx="0">
                  <c:v>A4(8-7A)</c:v>
                </c:pt>
                <c:pt idx="1">
                  <c:v>A4(6B-6A)</c:v>
                </c:pt>
                <c:pt idx="2">
                  <c:v>A4(5A-4B)</c:v>
                </c:pt>
                <c:pt idx="3">
                  <c:v>A4(3B-4A)</c:v>
                </c:pt>
                <c:pt idx="4">
                  <c:v>A4(3A-2B)</c:v>
                </c:pt>
                <c:pt idx="5">
                  <c:v>A4(2A-1B)</c:v>
                </c:pt>
                <c:pt idx="6">
                  <c:v>PISCINA/BM</c:v>
                </c:pt>
                <c:pt idx="7">
                  <c:v>A1</c:v>
                </c:pt>
                <c:pt idx="8">
                  <c:v>A2</c:v>
                </c:pt>
                <c:pt idx="9">
                  <c:v>AA3</c:v>
                </c:pt>
                <c:pt idx="10">
                  <c:v>B4</c:v>
                </c:pt>
                <c:pt idx="11">
                  <c:v>B5</c:v>
                </c:pt>
                <c:pt idx="12">
                  <c:v>B6</c:v>
                </c:pt>
                <c:pt idx="13">
                  <c:v>B7</c:v>
                </c:pt>
                <c:pt idx="14">
                  <c:v>B8</c:v>
                </c:pt>
                <c:pt idx="15">
                  <c:v>B9</c:v>
                </c:pt>
                <c:pt idx="16">
                  <c:v>B10</c:v>
                </c:pt>
              </c:strCache>
            </c:strRef>
          </c:xVal>
          <c:yVal>
            <c:numRef>
              <c:f>'Control de asentamientos'!$BE$27:$BE$43</c:f>
              <c:numCache>
                <c:formatCode>General</c:formatCode>
                <c:ptCount val="17"/>
                <c:pt idx="0">
                  <c:v>-6.0000000000002274E-3</c:v>
                </c:pt>
                <c:pt idx="1">
                  <c:v>-1.4000000000010004E-2</c:v>
                </c:pt>
                <c:pt idx="2">
                  <c:v>-1.6999999999995907E-2</c:v>
                </c:pt>
                <c:pt idx="3">
                  <c:v>-3.9999999999906777E-3</c:v>
                </c:pt>
                <c:pt idx="4">
                  <c:v>-4.9999999999954525E-3</c:v>
                </c:pt>
                <c:pt idx="5">
                  <c:v>-1.4999999999986358E-2</c:v>
                </c:pt>
                <c:pt idx="6">
                  <c:v>0</c:v>
                </c:pt>
                <c:pt idx="7">
                  <c:v>-7.9999999999813554E-3</c:v>
                </c:pt>
                <c:pt idx="8">
                  <c:v>1.2000000000028876E-2</c:v>
                </c:pt>
                <c:pt idx="9">
                  <c:v>-4.9999999999670308E-3</c:v>
                </c:pt>
                <c:pt idx="10">
                  <c:v>-2.9999999999859028E-3</c:v>
                </c:pt>
                <c:pt idx="11">
                  <c:v>-2.9999999999859028E-3</c:v>
                </c:pt>
                <c:pt idx="12">
                  <c:v>-6.9999999999765805E-3</c:v>
                </c:pt>
                <c:pt idx="13">
                  <c:v>1.0000000000331966E-3</c:v>
                </c:pt>
                <c:pt idx="14">
                  <c:v>3.0000000000143245E-3</c:v>
                </c:pt>
                <c:pt idx="15">
                  <c:v>-4.9999999999670308E-3</c:v>
                </c:pt>
                <c:pt idx="16">
                  <c:v>-1.5999999999991132E-2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1AE-4224-B9E6-53EF5D16AF95}"/>
            </c:ext>
          </c:extLst>
        </c:ser>
        <c:ser>
          <c:idx val="5"/>
          <c:order val="5"/>
          <c:tx>
            <c:v>COMPARACION 7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'Control de asentamientos'!$BO$27:$BO$43</c:f>
              <c:strCache>
                <c:ptCount val="17"/>
                <c:pt idx="0">
                  <c:v>A4(8-7A)</c:v>
                </c:pt>
                <c:pt idx="1">
                  <c:v>A4(6B-6A)</c:v>
                </c:pt>
                <c:pt idx="2">
                  <c:v>A4(5A-4B)</c:v>
                </c:pt>
                <c:pt idx="3">
                  <c:v>A4(3B-4A)</c:v>
                </c:pt>
                <c:pt idx="4">
                  <c:v>A4(3A-2B)</c:v>
                </c:pt>
                <c:pt idx="5">
                  <c:v>A4(2A-1B)</c:v>
                </c:pt>
                <c:pt idx="6">
                  <c:v>PISCINA/BM</c:v>
                </c:pt>
                <c:pt idx="7">
                  <c:v>A1</c:v>
                </c:pt>
                <c:pt idx="8">
                  <c:v>A2</c:v>
                </c:pt>
                <c:pt idx="9">
                  <c:v>AA3</c:v>
                </c:pt>
                <c:pt idx="10">
                  <c:v>B4</c:v>
                </c:pt>
                <c:pt idx="11">
                  <c:v>B5</c:v>
                </c:pt>
                <c:pt idx="12">
                  <c:v>B6</c:v>
                </c:pt>
                <c:pt idx="13">
                  <c:v>B7</c:v>
                </c:pt>
                <c:pt idx="14">
                  <c:v>B8</c:v>
                </c:pt>
                <c:pt idx="15">
                  <c:v>B9</c:v>
                </c:pt>
                <c:pt idx="16">
                  <c:v>B10</c:v>
                </c:pt>
              </c:strCache>
            </c:strRef>
          </c:xVal>
          <c:yVal>
            <c:numRef>
              <c:f>'Control de asentamientos'!$BP$27:$BP$43</c:f>
              <c:numCache>
                <c:formatCode>General</c:formatCode>
                <c:ptCount val="17"/>
                <c:pt idx="0">
                  <c:v>-7.0000000000050022E-3</c:v>
                </c:pt>
                <c:pt idx="1">
                  <c:v>-1.4000000000010004E-2</c:v>
                </c:pt>
                <c:pt idx="2">
                  <c:v>-1.6999999999995907E-2</c:v>
                </c:pt>
                <c:pt idx="3">
                  <c:v>-4.9999999999954525E-3</c:v>
                </c:pt>
                <c:pt idx="4">
                  <c:v>-4.9999999999954525E-3</c:v>
                </c:pt>
                <c:pt idx="5">
                  <c:v>-1.4999999999986358E-2</c:v>
                </c:pt>
                <c:pt idx="6">
                  <c:v>0</c:v>
                </c:pt>
                <c:pt idx="7">
                  <c:v>-8.9999999999861302E-3</c:v>
                </c:pt>
                <c:pt idx="8">
                  <c:v>1.2000000000028876E-2</c:v>
                </c:pt>
                <c:pt idx="9">
                  <c:v>-5.9999999999718057E-3</c:v>
                </c:pt>
                <c:pt idx="10">
                  <c:v>-3.0000000000143245E-3</c:v>
                </c:pt>
                <c:pt idx="11">
                  <c:v>-3.9999999999906777E-3</c:v>
                </c:pt>
                <c:pt idx="12">
                  <c:v>-6.9999999999765805E-3</c:v>
                </c:pt>
                <c:pt idx="13">
                  <c:v>1.0000000000331966E-3</c:v>
                </c:pt>
                <c:pt idx="14">
                  <c:v>3.0000000000143245E-3</c:v>
                </c:pt>
                <c:pt idx="15">
                  <c:v>-4.9999999999954525E-3</c:v>
                </c:pt>
                <c:pt idx="16">
                  <c:v>-1.6999999999995907E-2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1AE-4224-B9E6-53EF5D16AF95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201552656"/>
        <c:axId val="2035590816"/>
      </c:scatterChart>
      <c:valAx>
        <c:axId val="201552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Punto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35590816"/>
        <c:crosses val="autoZero"/>
        <c:crossBetween val="midCat"/>
      </c:valAx>
      <c:valAx>
        <c:axId val="203559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Asentamiento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1552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790575</xdr:colOff>
      <xdr:row>44</xdr:row>
      <xdr:rowOff>180975</xdr:rowOff>
    </xdr:from>
    <xdr:to>
      <xdr:col>15</xdr:col>
      <xdr:colOff>371475</xdr:colOff>
      <xdr:row>59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A96EF3-304D-5516-7A3A-E5B5E2FB8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233362</xdr:colOff>
      <xdr:row>46</xdr:row>
      <xdr:rowOff>142875</xdr:rowOff>
    </xdr:from>
    <xdr:to>
      <xdr:col>30</xdr:col>
      <xdr:colOff>309562</xdr:colOff>
      <xdr:row>61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C0B3B0E-5F04-2270-AC30-15A73025D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328612</xdr:colOff>
      <xdr:row>46</xdr:row>
      <xdr:rowOff>171450</xdr:rowOff>
    </xdr:from>
    <xdr:to>
      <xdr:col>39</xdr:col>
      <xdr:colOff>14287</xdr:colOff>
      <xdr:row>61</xdr:row>
      <xdr:rowOff>57150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36928DA-B310-1008-058C-7CA869BFA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71437</xdr:colOff>
      <xdr:row>46</xdr:row>
      <xdr:rowOff>142875</xdr:rowOff>
    </xdr:from>
    <xdr:to>
      <xdr:col>48</xdr:col>
      <xdr:colOff>481012</xdr:colOff>
      <xdr:row>61</xdr:row>
      <xdr:rowOff>28575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991BE5E-EBA4-68B0-1F33-F81047F79E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54</xdr:col>
      <xdr:colOff>585787</xdr:colOff>
      <xdr:row>47</xdr:row>
      <xdr:rowOff>0</xdr:rowOff>
    </xdr:from>
    <xdr:to>
      <xdr:col>59</xdr:col>
      <xdr:colOff>461962</xdr:colOff>
      <xdr:row>61</xdr:row>
      <xdr:rowOff>76200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3291C41-BA9F-D542-749E-C0CCF305C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65</xdr:col>
      <xdr:colOff>452437</xdr:colOff>
      <xdr:row>46</xdr:row>
      <xdr:rowOff>180975</xdr:rowOff>
    </xdr:from>
    <xdr:to>
      <xdr:col>69</xdr:col>
      <xdr:colOff>747712</xdr:colOff>
      <xdr:row>61</xdr:row>
      <xdr:rowOff>66675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2007E45-6AB2-19AB-3066-7F97B4DE4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471487</xdr:colOff>
      <xdr:row>44</xdr:row>
      <xdr:rowOff>171450</xdr:rowOff>
    </xdr:from>
    <xdr:to>
      <xdr:col>6</xdr:col>
      <xdr:colOff>614362</xdr:colOff>
      <xdr:row>59</xdr:row>
      <xdr:rowOff>57150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C7E53E7-D6AC-31E8-A4F2-E0C77CDDA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16</xdr:row>
      <xdr:rowOff>52972</xdr:rowOff>
    </xdr:from>
    <xdr:to>
      <xdr:col>12</xdr:col>
      <xdr:colOff>198744</xdr:colOff>
      <xdr:row>32</xdr:row>
      <xdr:rowOff>190014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D781BD-7E61-00DD-3E13-1AA7E96D9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975" y="3100972"/>
          <a:ext cx="8399769" cy="3185042"/>
        </a:xfrm>
        <a:prstGeom prst="rect">
          <a:avLst/>
        </a:prstGeom>
      </xdr:spPr>
    </xdr:pic>
    <xdr:clientData/>
  </xdr:twoCellAnchor>
  <xdr:twoCellAnchor editAs="oneCell">
    <xdr:from>
      <xdr:col>12</xdr:col>
      <xdr:colOff>176358</xdr:colOff>
      <xdr:row>17</xdr:row>
      <xdr:rowOff>28575</xdr:rowOff>
    </xdr:from>
    <xdr:to>
      <xdr:col>18</xdr:col>
      <xdr:colOff>474934</xdr:colOff>
      <xdr:row>33</xdr:row>
      <xdr:rowOff>8707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9CD665-30C7-18F5-BD27-053B9991E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20358" y="3267075"/>
          <a:ext cx="4870576" cy="30281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44"/>
  <sheetViews>
    <sheetView showGridLines="0" tabSelected="1" zoomScale="115" zoomScaleNormal="115" workbookViewId="0">
      <pane ySplit="3" topLeftCell="A20" activePane="bottomLeft" state="frozen"/>
      <selection pane="bottomLeft" activeCell="L27" sqref="L27:M43"/>
    </sheetView>
  </sheetViews>
  <sheetFormatPr baseColWidth="10" defaultColWidth="9.140625" defaultRowHeight="15" x14ac:dyDescent="0.25"/>
  <cols>
    <col min="1" max="1" width="18" customWidth="1"/>
    <col min="2" max="2" width="13" customWidth="1"/>
    <col min="3" max="3" width="16.42578125" customWidth="1"/>
    <col min="4" max="4" width="13" customWidth="1"/>
    <col min="5" max="6" width="12" customWidth="1"/>
    <col min="7" max="7" width="13" customWidth="1"/>
    <col min="8" max="8" width="12" customWidth="1"/>
    <col min="9" max="9" width="9" customWidth="1"/>
    <col min="10" max="11" width="12" customWidth="1"/>
    <col min="12" max="12" width="13" customWidth="1"/>
    <col min="13" max="13" width="15.7109375" customWidth="1"/>
    <col min="14" max="14" width="17.28515625" customWidth="1"/>
    <col min="15" max="15" width="16.85546875" customWidth="1"/>
    <col min="16" max="16" width="12" customWidth="1"/>
    <col min="23" max="23" width="11.5703125" customWidth="1"/>
    <col min="24" max="24" width="15.28515625" customWidth="1"/>
    <col min="25" max="25" width="14.28515625" customWidth="1"/>
    <col min="26" max="26" width="16.5703125" customWidth="1"/>
    <col min="32" max="32" width="9.7109375" bestFit="1" customWidth="1"/>
    <col min="35" max="35" width="14.5703125" customWidth="1"/>
    <col min="36" max="36" width="14.140625" customWidth="1"/>
    <col min="37" max="37" width="17.140625" customWidth="1"/>
    <col min="45" max="45" width="13" customWidth="1"/>
    <col min="46" max="46" width="16.42578125" customWidth="1"/>
    <col min="47" max="47" width="16.140625" customWidth="1"/>
    <col min="48" max="48" width="16.85546875" customWidth="1"/>
    <col min="56" max="56" width="12.140625" customWidth="1"/>
    <col min="57" max="57" width="14.140625" customWidth="1"/>
    <col min="58" max="58" width="15.5703125" customWidth="1"/>
    <col min="59" max="59" width="19.42578125" customWidth="1"/>
    <col min="67" max="67" width="16.85546875" customWidth="1"/>
    <col min="68" max="68" width="18.7109375" customWidth="1"/>
    <col min="69" max="69" width="19.42578125" customWidth="1"/>
    <col min="70" max="70" width="19.5703125" customWidth="1"/>
  </cols>
  <sheetData>
    <row r="1" spans="1:36" ht="18.75" x14ac:dyDescent="0.3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36" x14ac:dyDescent="0.25">
      <c r="A2" s="23" t="s">
        <v>1</v>
      </c>
      <c r="B2" s="22"/>
      <c r="C2" s="22"/>
      <c r="D2" s="22"/>
      <c r="E2" s="22"/>
      <c r="F2" s="22"/>
      <c r="G2" s="23" t="s">
        <v>2</v>
      </c>
      <c r="H2" s="22"/>
      <c r="I2" s="22"/>
      <c r="J2" s="22"/>
      <c r="K2" s="22"/>
      <c r="L2" s="23" t="s">
        <v>3</v>
      </c>
      <c r="M2" s="22"/>
      <c r="N2" s="22"/>
      <c r="O2" s="22"/>
      <c r="P2" s="22"/>
      <c r="Q2" s="25" t="s">
        <v>19</v>
      </c>
      <c r="R2" s="26"/>
      <c r="S2" s="26"/>
      <c r="T2" s="26"/>
      <c r="U2" s="26"/>
      <c r="V2" s="25" t="s">
        <v>18</v>
      </c>
      <c r="W2" s="26"/>
      <c r="X2" s="26"/>
      <c r="Y2" s="26"/>
      <c r="Z2" s="26"/>
      <c r="AA2" s="25" t="s">
        <v>20</v>
      </c>
      <c r="AB2" s="26"/>
      <c r="AC2" s="26"/>
      <c r="AD2" s="26"/>
      <c r="AE2" s="26"/>
      <c r="AF2" s="25">
        <v>44687</v>
      </c>
      <c r="AG2" s="26"/>
      <c r="AH2" s="26"/>
      <c r="AI2" s="26"/>
      <c r="AJ2" s="26"/>
    </row>
    <row r="3" spans="1:36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5</v>
      </c>
      <c r="M3" s="1" t="s">
        <v>6</v>
      </c>
      <c r="N3" s="1" t="s">
        <v>7</v>
      </c>
      <c r="O3" s="1" t="s">
        <v>8</v>
      </c>
      <c r="P3" s="1" t="s">
        <v>9</v>
      </c>
      <c r="Q3" s="1" t="s">
        <v>5</v>
      </c>
      <c r="R3" s="1" t="s">
        <v>6</v>
      </c>
      <c r="S3" s="1" t="s">
        <v>7</v>
      </c>
      <c r="T3" s="1" t="s">
        <v>8</v>
      </c>
      <c r="U3" s="1" t="s">
        <v>9</v>
      </c>
      <c r="V3" s="1" t="s">
        <v>5</v>
      </c>
      <c r="W3" s="1" t="s">
        <v>6</v>
      </c>
      <c r="X3" s="1" t="s">
        <v>7</v>
      </c>
      <c r="Y3" s="1" t="s">
        <v>8</v>
      </c>
      <c r="Z3" s="1" t="s">
        <v>9</v>
      </c>
      <c r="AA3" s="1" t="s">
        <v>5</v>
      </c>
      <c r="AB3" s="1" t="s">
        <v>6</v>
      </c>
      <c r="AC3" s="1" t="s">
        <v>7</v>
      </c>
      <c r="AD3" s="1" t="s">
        <v>8</v>
      </c>
      <c r="AE3" s="1" t="s">
        <v>9</v>
      </c>
      <c r="AF3" s="1" t="s">
        <v>5</v>
      </c>
      <c r="AG3" s="1" t="s">
        <v>6</v>
      </c>
      <c r="AH3" s="1" t="s">
        <v>7</v>
      </c>
      <c r="AI3" s="1" t="s">
        <v>8</v>
      </c>
      <c r="AJ3" s="1" t="s">
        <v>9</v>
      </c>
    </row>
    <row r="4" spans="1:36" x14ac:dyDescent="0.25">
      <c r="A4" s="2" t="s">
        <v>10</v>
      </c>
      <c r="B4" s="2" t="str">
        <f>$A$2</f>
        <v>3/24/2022</v>
      </c>
      <c r="C4" s="2">
        <f>F4+D4</f>
        <v>157.517</v>
      </c>
      <c r="D4" s="2">
        <v>1.218</v>
      </c>
      <c r="E4" s="2"/>
      <c r="F4" s="3">
        <v>156.29900000000001</v>
      </c>
      <c r="G4" s="2" t="s">
        <v>10</v>
      </c>
      <c r="H4" s="2">
        <f>K4+I4</f>
        <v>157.57900000000001</v>
      </c>
      <c r="I4" s="2">
        <v>1.28</v>
      </c>
      <c r="J4" s="2"/>
      <c r="K4" s="3">
        <v>156.29900000000001</v>
      </c>
      <c r="L4" s="2" t="s">
        <v>10</v>
      </c>
      <c r="M4" s="2">
        <f>P4+N4</f>
        <v>157.749</v>
      </c>
      <c r="N4" s="2">
        <v>1.45</v>
      </c>
      <c r="O4" s="2"/>
      <c r="P4" s="3">
        <v>156.29900000000001</v>
      </c>
      <c r="Q4" s="2" t="s">
        <v>10</v>
      </c>
      <c r="R4" s="2">
        <f>U4+S4</f>
        <v>157.45500000000001</v>
      </c>
      <c r="S4" s="2">
        <v>1.1559999999999999</v>
      </c>
      <c r="T4" s="2"/>
      <c r="U4" s="3">
        <v>156.29900000000001</v>
      </c>
      <c r="V4" s="2" t="s">
        <v>10</v>
      </c>
      <c r="W4" s="2">
        <f>Z4+X4</f>
        <v>157.55700000000002</v>
      </c>
      <c r="X4" s="2">
        <v>1.2580000000000098</v>
      </c>
      <c r="Y4" s="2"/>
      <c r="Z4" s="3">
        <v>156.29900000000001</v>
      </c>
      <c r="AA4" s="2" t="s">
        <v>10</v>
      </c>
      <c r="AB4" s="2">
        <f>AE4+AC4</f>
        <v>157.47800000000001</v>
      </c>
      <c r="AC4" s="2">
        <v>1.179000000000002</v>
      </c>
      <c r="AD4" s="2"/>
      <c r="AE4" s="3">
        <v>156.29900000000001</v>
      </c>
      <c r="AF4" s="2" t="s">
        <v>10</v>
      </c>
      <c r="AG4" s="2">
        <f>AJ4+AH4</f>
        <v>157.358</v>
      </c>
      <c r="AH4" s="2">
        <v>1.0589999999999975</v>
      </c>
      <c r="AI4" s="2"/>
      <c r="AJ4" s="3">
        <v>156.29900000000001</v>
      </c>
    </row>
    <row r="5" spans="1:36" x14ac:dyDescent="0.25">
      <c r="A5" s="2" t="s">
        <v>11</v>
      </c>
      <c r="B5" s="2" t="str">
        <f t="shared" ref="B5:B20" si="0">$A$2</f>
        <v>3/24/2022</v>
      </c>
      <c r="C5" s="2"/>
      <c r="D5" s="2"/>
      <c r="E5" s="2">
        <v>0.82</v>
      </c>
      <c r="F5" s="3">
        <f>$C$4-E5</f>
        <v>156.697</v>
      </c>
      <c r="G5" s="2" t="str">
        <f>$G$2</f>
        <v>3/31/2022</v>
      </c>
      <c r="H5" s="2"/>
      <c r="I5" s="2"/>
      <c r="J5" s="2">
        <v>0.88300000000000001</v>
      </c>
      <c r="K5" s="3">
        <f>$H$4-J5</f>
        <v>156.696</v>
      </c>
      <c r="L5" s="2" t="str">
        <f>$L$2</f>
        <v>4/12/2022</v>
      </c>
      <c r="M5" s="2"/>
      <c r="N5" s="2"/>
      <c r="O5" s="2">
        <v>1.0529999999999999</v>
      </c>
      <c r="P5" s="3">
        <f>$M$4-O5</f>
        <v>156.696</v>
      </c>
      <c r="Q5" s="8" t="str">
        <f>$Q$2</f>
        <v>4/19/2022</v>
      </c>
      <c r="R5" s="2"/>
      <c r="S5" s="2"/>
      <c r="T5" s="2">
        <v>0.76100000000000001</v>
      </c>
      <c r="U5" s="3">
        <f>$R$4-T5</f>
        <v>156.69400000000002</v>
      </c>
      <c r="V5" s="8" t="str">
        <f>$V$2</f>
        <v>4/29/2022</v>
      </c>
      <c r="W5" s="2"/>
      <c r="X5" s="2"/>
      <c r="Y5" s="7">
        <v>0.86499999999999999</v>
      </c>
      <c r="Z5" s="3">
        <f>$W$4-Y5</f>
        <v>156.69200000000001</v>
      </c>
      <c r="AA5" s="8" t="str">
        <f>$AA$2</f>
        <v>5/16/2022</v>
      </c>
      <c r="AB5" s="2"/>
      <c r="AC5" s="2"/>
      <c r="AD5" s="2">
        <v>0.78700000000000003</v>
      </c>
      <c r="AE5" s="3">
        <f>$AB$4-AD5</f>
        <v>156.691</v>
      </c>
      <c r="AF5" s="8">
        <f>$AF$2</f>
        <v>44687</v>
      </c>
      <c r="AG5" s="2"/>
      <c r="AH5" s="2"/>
      <c r="AI5" s="2">
        <v>0.66800000000000004</v>
      </c>
      <c r="AJ5" s="3">
        <f>$AG$4-AI5</f>
        <v>156.69</v>
      </c>
    </row>
    <row r="6" spans="1:36" x14ac:dyDescent="0.25">
      <c r="A6" s="2" t="s">
        <v>12</v>
      </c>
      <c r="B6" s="2" t="str">
        <f t="shared" si="0"/>
        <v>3/24/2022</v>
      </c>
      <c r="C6" s="2"/>
      <c r="D6" s="2"/>
      <c r="E6" s="2">
        <v>0.81299999999999994</v>
      </c>
      <c r="F6" s="3">
        <f t="shared" ref="F6:F10" si="1">$C$4-E6</f>
        <v>156.70400000000001</v>
      </c>
      <c r="G6" s="2" t="str">
        <f t="shared" ref="G6:G21" si="2">$G$2</f>
        <v>3/31/2022</v>
      </c>
      <c r="H6" s="2"/>
      <c r="I6" s="2"/>
      <c r="J6" s="2">
        <v>0.877</v>
      </c>
      <c r="K6" s="3">
        <f t="shared" ref="K6:K10" si="3">$H$4-J6</f>
        <v>156.702</v>
      </c>
      <c r="L6" s="2" t="str">
        <f t="shared" ref="L6:L21" si="4">$L$2</f>
        <v>4/12/2022</v>
      </c>
      <c r="M6" s="2"/>
      <c r="N6" s="2"/>
      <c r="O6" s="2">
        <v>1.048</v>
      </c>
      <c r="P6" s="3">
        <f t="shared" ref="P6:P10" si="5">$M$4-O6</f>
        <v>156.70099999999999</v>
      </c>
      <c r="Q6" s="8" t="str">
        <f t="shared" ref="Q6:Q21" si="6">$Q$2</f>
        <v>4/19/2022</v>
      </c>
      <c r="R6" s="2"/>
      <c r="S6" s="2"/>
      <c r="T6" s="2">
        <v>0.76</v>
      </c>
      <c r="U6" s="3">
        <f t="shared" ref="U6:U10" si="7">$R$4-T6</f>
        <v>156.69500000000002</v>
      </c>
      <c r="V6" s="8" t="str">
        <f t="shared" ref="V6:V21" si="8">$V$2</f>
        <v>4/29/2022</v>
      </c>
      <c r="W6" s="2"/>
      <c r="X6" s="2"/>
      <c r="Y6" s="7">
        <v>0.86599999999999999</v>
      </c>
      <c r="Z6" s="3">
        <f t="shared" ref="Z6:Z10" si="9">$W$4-Y6</f>
        <v>156.691</v>
      </c>
      <c r="AA6" s="8" t="str">
        <f t="shared" ref="AA6:AA20" si="10">$AA$2</f>
        <v>5/16/2022</v>
      </c>
      <c r="AB6" s="2"/>
      <c r="AC6" s="2"/>
      <c r="AD6" s="2">
        <v>0.78800000000000003</v>
      </c>
      <c r="AE6" s="3">
        <f t="shared" ref="AE6:AE10" si="11">$AB$4-AD6</f>
        <v>156.69</v>
      </c>
      <c r="AF6" s="8">
        <f t="shared" ref="AF6:AF21" si="12">$AF$2</f>
        <v>44687</v>
      </c>
      <c r="AG6" s="2"/>
      <c r="AH6" s="2"/>
      <c r="AI6" s="2">
        <v>0.66800000000000004</v>
      </c>
      <c r="AJ6" s="3">
        <f t="shared" ref="AJ6:AJ10" si="13">$AG$4-AI6</f>
        <v>156.69</v>
      </c>
    </row>
    <row r="7" spans="1:36" x14ac:dyDescent="0.25">
      <c r="A7" s="2" t="s">
        <v>13</v>
      </c>
      <c r="B7" s="2" t="str">
        <f t="shared" si="0"/>
        <v>3/24/2022</v>
      </c>
      <c r="C7" s="2"/>
      <c r="D7" s="2"/>
      <c r="E7" s="2">
        <v>0.80800000000000005</v>
      </c>
      <c r="F7" s="3">
        <f t="shared" si="1"/>
        <v>156.709</v>
      </c>
      <c r="G7" s="2" t="str">
        <f t="shared" si="2"/>
        <v>3/31/2022</v>
      </c>
      <c r="H7" s="2"/>
      <c r="I7" s="2"/>
      <c r="J7" s="2">
        <v>0.871</v>
      </c>
      <c r="K7" s="3">
        <f t="shared" si="3"/>
        <v>156.708</v>
      </c>
      <c r="L7" s="2" t="str">
        <f t="shared" si="4"/>
        <v>4/12/2022</v>
      </c>
      <c r="M7" s="2"/>
      <c r="N7" s="2"/>
      <c r="O7" s="2">
        <v>1.0469999999999999</v>
      </c>
      <c r="P7" s="3">
        <f t="shared" si="5"/>
        <v>156.702</v>
      </c>
      <c r="Q7" s="8" t="str">
        <f t="shared" si="6"/>
        <v>4/19/2022</v>
      </c>
      <c r="R7" s="2"/>
      <c r="S7" s="2"/>
      <c r="T7" s="2">
        <v>0.755</v>
      </c>
      <c r="U7" s="3">
        <f t="shared" si="7"/>
        <v>156.70000000000002</v>
      </c>
      <c r="V7" s="8" t="str">
        <f t="shared" si="8"/>
        <v>4/29/2022</v>
      </c>
      <c r="W7" s="2"/>
      <c r="X7" s="2"/>
      <c r="Y7" s="7">
        <v>0.86299999999999999</v>
      </c>
      <c r="Z7" s="3">
        <f t="shared" si="9"/>
        <v>156.69400000000002</v>
      </c>
      <c r="AA7" s="8" t="str">
        <f t="shared" si="10"/>
        <v>5/16/2022</v>
      </c>
      <c r="AB7" s="2"/>
      <c r="AC7" s="2"/>
      <c r="AD7" s="2">
        <v>0.78600000000000003</v>
      </c>
      <c r="AE7" s="3">
        <f t="shared" si="11"/>
        <v>156.69200000000001</v>
      </c>
      <c r="AF7" s="8">
        <f t="shared" si="12"/>
        <v>44687</v>
      </c>
      <c r="AG7" s="2"/>
      <c r="AH7" s="2"/>
      <c r="AI7" s="2">
        <v>0.66600000000000004</v>
      </c>
      <c r="AJ7" s="3">
        <f t="shared" si="13"/>
        <v>156.69200000000001</v>
      </c>
    </row>
    <row r="8" spans="1:36" x14ac:dyDescent="0.25">
      <c r="A8" s="2" t="s">
        <v>14</v>
      </c>
      <c r="B8" s="2" t="str">
        <f t="shared" si="0"/>
        <v>3/24/2022</v>
      </c>
      <c r="C8" s="2"/>
      <c r="D8" s="2"/>
      <c r="E8" s="2">
        <v>0.82099999999999995</v>
      </c>
      <c r="F8" s="3">
        <f t="shared" si="1"/>
        <v>156.696</v>
      </c>
      <c r="G8" s="2" t="str">
        <f t="shared" si="2"/>
        <v>3/31/2022</v>
      </c>
      <c r="H8" s="2"/>
      <c r="I8" s="2"/>
      <c r="J8" s="2">
        <v>0.88300000000000001</v>
      </c>
      <c r="K8" s="3">
        <f t="shared" si="3"/>
        <v>156.696</v>
      </c>
      <c r="L8" s="2" t="str">
        <f t="shared" si="4"/>
        <v>4/12/2022</v>
      </c>
      <c r="M8" s="2"/>
      <c r="N8" s="2"/>
      <c r="O8" s="2">
        <v>1.054</v>
      </c>
      <c r="P8" s="3">
        <f t="shared" si="5"/>
        <v>156.69499999999999</v>
      </c>
      <c r="Q8" s="8" t="str">
        <f t="shared" si="6"/>
        <v>4/19/2022</v>
      </c>
      <c r="R8" s="2"/>
      <c r="S8" s="2"/>
      <c r="T8" s="2">
        <v>0.76100000000000001</v>
      </c>
      <c r="U8" s="3">
        <f t="shared" si="7"/>
        <v>156.69400000000002</v>
      </c>
      <c r="V8" s="8" t="str">
        <f t="shared" si="8"/>
        <v>4/29/2022</v>
      </c>
      <c r="W8" s="2"/>
      <c r="X8" s="2"/>
      <c r="Y8" s="7">
        <v>0.86399999999999999</v>
      </c>
      <c r="Z8" s="3">
        <f t="shared" si="9"/>
        <v>156.69300000000001</v>
      </c>
      <c r="AA8" s="8" t="str">
        <f t="shared" si="10"/>
        <v>5/16/2022</v>
      </c>
      <c r="AB8" s="2"/>
      <c r="AC8" s="2"/>
      <c r="AD8" s="2">
        <v>0.78600000000000003</v>
      </c>
      <c r="AE8" s="3">
        <f t="shared" si="11"/>
        <v>156.69200000000001</v>
      </c>
      <c r="AF8" s="8">
        <f t="shared" si="12"/>
        <v>44687</v>
      </c>
      <c r="AG8" s="2"/>
      <c r="AH8" s="2"/>
      <c r="AI8" s="2">
        <v>0.66700000000000004</v>
      </c>
      <c r="AJ8" s="3">
        <f t="shared" si="13"/>
        <v>156.691</v>
      </c>
    </row>
    <row r="9" spans="1:36" x14ac:dyDescent="0.25">
      <c r="A9" s="2" t="s">
        <v>15</v>
      </c>
      <c r="B9" s="2" t="str">
        <f t="shared" si="0"/>
        <v>3/24/2022</v>
      </c>
      <c r="C9" s="2"/>
      <c r="D9" s="2"/>
      <c r="E9" s="2">
        <v>0.81499999999999995</v>
      </c>
      <c r="F9" s="3">
        <f t="shared" si="1"/>
        <v>156.702</v>
      </c>
      <c r="G9" s="2" t="str">
        <f t="shared" si="2"/>
        <v>3/31/2022</v>
      </c>
      <c r="H9" s="2"/>
      <c r="I9" s="2"/>
      <c r="J9" s="2">
        <v>0.877</v>
      </c>
      <c r="K9" s="3">
        <f t="shared" si="3"/>
        <v>156.702</v>
      </c>
      <c r="L9" s="2" t="str">
        <f t="shared" si="4"/>
        <v>4/12/2022</v>
      </c>
      <c r="M9" s="2"/>
      <c r="N9" s="2"/>
      <c r="O9" s="2">
        <v>1.048</v>
      </c>
      <c r="P9" s="3">
        <f t="shared" si="5"/>
        <v>156.70099999999999</v>
      </c>
      <c r="Q9" s="8" t="str">
        <f t="shared" si="6"/>
        <v>4/19/2022</v>
      </c>
      <c r="R9" s="2"/>
      <c r="S9" s="2"/>
      <c r="T9" s="2">
        <v>0.75600000000000001</v>
      </c>
      <c r="U9" s="3">
        <f t="shared" si="7"/>
        <v>156.69900000000001</v>
      </c>
      <c r="V9" s="8" t="str">
        <f t="shared" si="8"/>
        <v>4/29/2022</v>
      </c>
      <c r="W9" s="2"/>
      <c r="X9" s="2"/>
      <c r="Y9" s="7">
        <v>0.85899999999999999</v>
      </c>
      <c r="Z9" s="3">
        <f t="shared" si="9"/>
        <v>156.69800000000001</v>
      </c>
      <c r="AA9" s="8" t="str">
        <f t="shared" si="10"/>
        <v>5/16/2022</v>
      </c>
      <c r="AB9" s="2"/>
      <c r="AC9" s="2"/>
      <c r="AD9" s="2">
        <v>0.78100000000000003</v>
      </c>
      <c r="AE9" s="3">
        <f t="shared" si="11"/>
        <v>156.697</v>
      </c>
      <c r="AF9" s="8">
        <f t="shared" si="12"/>
        <v>44687</v>
      </c>
      <c r="AG9" s="2"/>
      <c r="AH9" s="2"/>
      <c r="AI9" s="2">
        <v>0.66100000000000003</v>
      </c>
      <c r="AJ9" s="3">
        <f t="shared" si="13"/>
        <v>156.697</v>
      </c>
    </row>
    <row r="10" spans="1:36" x14ac:dyDescent="0.25">
      <c r="A10" s="2" t="s">
        <v>16</v>
      </c>
      <c r="B10" s="2" t="str">
        <f t="shared" si="0"/>
        <v>3/24/2022</v>
      </c>
      <c r="C10" s="2"/>
      <c r="D10" s="2"/>
      <c r="E10" s="2">
        <v>0.80500000000000005</v>
      </c>
      <c r="F10" s="3">
        <f t="shared" si="1"/>
        <v>156.71199999999999</v>
      </c>
      <c r="G10" s="2" t="str">
        <f t="shared" si="2"/>
        <v>3/31/2022</v>
      </c>
      <c r="H10" s="2"/>
      <c r="I10" s="2"/>
      <c r="J10" s="2">
        <v>0.86799999999999999</v>
      </c>
      <c r="K10" s="3">
        <f t="shared" si="3"/>
        <v>156.71100000000001</v>
      </c>
      <c r="L10" s="2" t="str">
        <f t="shared" si="4"/>
        <v>4/12/2022</v>
      </c>
      <c r="M10" s="2"/>
      <c r="N10" s="2"/>
      <c r="O10" s="2">
        <v>1.0469999999999999</v>
      </c>
      <c r="P10" s="3">
        <f t="shared" si="5"/>
        <v>156.702</v>
      </c>
      <c r="Q10" s="8" t="str">
        <f t="shared" si="6"/>
        <v>4/19/2022</v>
      </c>
      <c r="R10" s="2"/>
      <c r="S10" s="2"/>
      <c r="T10" s="2">
        <v>0.755</v>
      </c>
      <c r="U10" s="3">
        <f t="shared" si="7"/>
        <v>156.70000000000002</v>
      </c>
      <c r="V10" s="8" t="str">
        <f t="shared" si="8"/>
        <v>4/29/2022</v>
      </c>
      <c r="W10" s="2"/>
      <c r="X10" s="2"/>
      <c r="Y10" s="7">
        <v>0.85899999999999999</v>
      </c>
      <c r="Z10" s="3">
        <f t="shared" si="9"/>
        <v>156.69800000000001</v>
      </c>
      <c r="AA10" s="8" t="str">
        <f t="shared" si="10"/>
        <v>5/16/2022</v>
      </c>
      <c r="AB10" s="2"/>
      <c r="AC10" s="2"/>
      <c r="AD10" s="2">
        <v>0.78100000000000003</v>
      </c>
      <c r="AE10" s="3">
        <f t="shared" si="11"/>
        <v>156.697</v>
      </c>
      <c r="AF10" s="8">
        <f t="shared" si="12"/>
        <v>44687</v>
      </c>
      <c r="AG10" s="2"/>
      <c r="AH10" s="2"/>
      <c r="AI10" s="2">
        <v>0.66100000000000003</v>
      </c>
      <c r="AJ10" s="3">
        <f t="shared" si="13"/>
        <v>156.697</v>
      </c>
    </row>
    <row r="11" spans="1:36" x14ac:dyDescent="0.25">
      <c r="A11" s="2" t="s">
        <v>17</v>
      </c>
      <c r="B11" s="2" t="str">
        <f t="shared" si="0"/>
        <v>3/24/2022</v>
      </c>
      <c r="C11" s="2">
        <v>157.517</v>
      </c>
      <c r="D11" s="2">
        <v>1.218</v>
      </c>
      <c r="E11" s="2"/>
      <c r="F11" s="3">
        <v>156.29900000000001</v>
      </c>
      <c r="G11" s="2" t="str">
        <f t="shared" si="2"/>
        <v>3/31/2022</v>
      </c>
      <c r="H11" s="2">
        <v>157.57900000000001</v>
      </c>
      <c r="I11" s="2">
        <v>1.28</v>
      </c>
      <c r="J11" s="2"/>
      <c r="K11" s="3">
        <v>156.29900000000001</v>
      </c>
      <c r="L11" s="2" t="str">
        <f t="shared" si="4"/>
        <v>4/12/2022</v>
      </c>
      <c r="M11" s="2">
        <v>157.749</v>
      </c>
      <c r="N11" s="2">
        <v>1.45</v>
      </c>
      <c r="O11" s="2"/>
      <c r="P11" s="3">
        <v>156.29900000000001</v>
      </c>
      <c r="Q11" s="8" t="str">
        <f t="shared" si="6"/>
        <v>4/19/2022</v>
      </c>
      <c r="R11" s="2">
        <v>157.45500000000001</v>
      </c>
      <c r="S11" s="2">
        <v>1.1559999999999999</v>
      </c>
      <c r="T11" s="2"/>
      <c r="U11" s="3">
        <v>156.29900000000001</v>
      </c>
      <c r="V11" s="8" t="str">
        <f t="shared" si="8"/>
        <v>4/29/2022</v>
      </c>
      <c r="W11" s="2">
        <v>157.55700000000002</v>
      </c>
      <c r="X11" s="2">
        <v>1.2580000000000098</v>
      </c>
      <c r="Y11" s="5"/>
      <c r="Z11" s="3">
        <v>156.29900000000001</v>
      </c>
      <c r="AA11" s="8" t="str">
        <f t="shared" si="10"/>
        <v>5/16/2022</v>
      </c>
      <c r="AB11" s="2">
        <v>157.47800000000001</v>
      </c>
      <c r="AC11" s="2">
        <v>1.179000000000002</v>
      </c>
      <c r="AD11" s="2"/>
      <c r="AE11" s="3">
        <v>156.29900000000001</v>
      </c>
      <c r="AF11" s="8">
        <f t="shared" si="12"/>
        <v>44687</v>
      </c>
      <c r="AG11" s="2">
        <v>157.358</v>
      </c>
      <c r="AH11" s="2">
        <v>1.0589999999999975</v>
      </c>
      <c r="AI11" s="2"/>
      <c r="AJ11" s="3">
        <v>156.29900000000001</v>
      </c>
    </row>
    <row r="12" spans="1:36" x14ac:dyDescent="0.25">
      <c r="A12" s="2" t="s">
        <v>21</v>
      </c>
      <c r="B12" s="2" t="str">
        <f t="shared" si="0"/>
        <v>3/24/2022</v>
      </c>
      <c r="C12" s="2"/>
      <c r="D12" s="2"/>
      <c r="E12" s="2">
        <v>3.8279999999999998</v>
      </c>
      <c r="F12" s="3">
        <f>$C$11-E12</f>
        <v>153.68899999999999</v>
      </c>
      <c r="G12" s="2" t="str">
        <f t="shared" si="2"/>
        <v>3/31/2022</v>
      </c>
      <c r="H12" s="2"/>
      <c r="I12" s="2"/>
      <c r="J12" s="2">
        <v>3.89</v>
      </c>
      <c r="K12" s="3">
        <f>$H$11-J12</f>
        <v>153.68900000000002</v>
      </c>
      <c r="L12" s="2" t="str">
        <f t="shared" si="4"/>
        <v>4/12/2022</v>
      </c>
      <c r="M12" s="2"/>
      <c r="N12" s="2"/>
      <c r="O12" s="2">
        <v>4.0620000000000003</v>
      </c>
      <c r="P12" s="3">
        <f>$M$11-O12</f>
        <v>153.68699999999998</v>
      </c>
      <c r="Q12" s="8" t="str">
        <f t="shared" si="6"/>
        <v>4/19/2022</v>
      </c>
      <c r="R12" s="2"/>
      <c r="S12" s="2"/>
      <c r="T12" s="2">
        <v>3.7690000000000001</v>
      </c>
      <c r="U12" s="3">
        <f>$R$11-T12</f>
        <v>153.68600000000001</v>
      </c>
      <c r="V12" s="8" t="str">
        <f t="shared" si="8"/>
        <v>4/29/2022</v>
      </c>
      <c r="W12" s="2"/>
      <c r="X12" s="2"/>
      <c r="Y12" s="2">
        <v>3.8740000000000001</v>
      </c>
      <c r="Z12" s="3">
        <f>$W$11-Y12</f>
        <v>153.68300000000002</v>
      </c>
      <c r="AA12" s="8" t="str">
        <f t="shared" si="10"/>
        <v>5/16/2022</v>
      </c>
      <c r="AB12" s="2"/>
      <c r="AC12" s="2"/>
      <c r="AD12" s="2">
        <v>3.7970000000000002</v>
      </c>
      <c r="AE12" s="3">
        <f>$AB$11-AD12</f>
        <v>153.68100000000001</v>
      </c>
      <c r="AF12" s="8">
        <f t="shared" si="12"/>
        <v>44687</v>
      </c>
      <c r="AG12" s="2"/>
      <c r="AH12" s="2"/>
      <c r="AI12" s="2">
        <v>3.6779999999999999</v>
      </c>
      <c r="AJ12" s="3">
        <f>$AG$11-AI12</f>
        <v>153.68</v>
      </c>
    </row>
    <row r="13" spans="1:36" x14ac:dyDescent="0.25">
      <c r="A13" s="2" t="s">
        <v>22</v>
      </c>
      <c r="B13" s="2" t="str">
        <f t="shared" si="0"/>
        <v>3/24/2022</v>
      </c>
      <c r="C13" s="2"/>
      <c r="D13" s="2"/>
      <c r="E13" s="2">
        <v>3.883</v>
      </c>
      <c r="F13" s="3">
        <f t="shared" ref="F13:F21" si="14">$C$11-E13</f>
        <v>153.63399999999999</v>
      </c>
      <c r="G13" s="2" t="str">
        <f t="shared" si="2"/>
        <v>3/31/2022</v>
      </c>
      <c r="H13" s="2"/>
      <c r="I13" s="2"/>
      <c r="J13" s="2">
        <v>3.9340000000000002</v>
      </c>
      <c r="K13" s="3">
        <f t="shared" ref="K13:K21" si="15">$H$11-J13</f>
        <v>153.64500000000001</v>
      </c>
      <c r="L13" s="2" t="str">
        <f t="shared" si="4"/>
        <v>4/12/2022</v>
      </c>
      <c r="M13" s="2"/>
      <c r="N13" s="2"/>
      <c r="O13" s="2">
        <v>4.1050000000000004</v>
      </c>
      <c r="P13" s="3">
        <f t="shared" ref="P13:P21" si="16">$M$11-O13</f>
        <v>153.64400000000001</v>
      </c>
      <c r="Q13" s="8" t="str">
        <f t="shared" si="6"/>
        <v>4/19/2022</v>
      </c>
      <c r="R13" s="2"/>
      <c r="S13" s="2"/>
      <c r="T13" s="2">
        <v>3.81</v>
      </c>
      <c r="U13" s="3">
        <f t="shared" ref="U13:U21" si="17">$R$11-T13</f>
        <v>153.64500000000001</v>
      </c>
      <c r="V13" s="8" t="str">
        <f t="shared" si="8"/>
        <v>4/29/2022</v>
      </c>
      <c r="W13" s="2"/>
      <c r="X13" s="2"/>
      <c r="Y13" s="2">
        <v>3.9129999999999998</v>
      </c>
      <c r="Z13" s="3">
        <f t="shared" ref="Z13:Z21" si="18">$W$11-Y13</f>
        <v>153.64400000000001</v>
      </c>
      <c r="AA13" s="8" t="str">
        <f t="shared" si="10"/>
        <v>5/16/2022</v>
      </c>
      <c r="AB13" s="2"/>
      <c r="AC13" s="2"/>
      <c r="AD13" s="2">
        <v>3.8319999999999999</v>
      </c>
      <c r="AE13" s="3">
        <f t="shared" ref="AE13:AE21" si="19">$AB$11-AD13</f>
        <v>153.64600000000002</v>
      </c>
      <c r="AF13" s="8">
        <f t="shared" si="12"/>
        <v>44687</v>
      </c>
      <c r="AG13" s="2"/>
      <c r="AH13" s="2"/>
      <c r="AI13" s="2">
        <v>3.7120000000000002</v>
      </c>
      <c r="AJ13" s="3">
        <f t="shared" ref="AJ13:AJ21" si="20">$AG$11-AI13</f>
        <v>153.64600000000002</v>
      </c>
    </row>
    <row r="14" spans="1:36" x14ac:dyDescent="0.25">
      <c r="A14" s="2" t="s">
        <v>23</v>
      </c>
      <c r="B14" s="2" t="str">
        <f t="shared" si="0"/>
        <v>3/24/2022</v>
      </c>
      <c r="C14" s="2"/>
      <c r="D14" s="2"/>
      <c r="E14" s="2">
        <v>3.835</v>
      </c>
      <c r="F14" s="3">
        <f t="shared" si="14"/>
        <v>153.68199999999999</v>
      </c>
      <c r="G14" s="2" t="str">
        <f t="shared" si="2"/>
        <v>3/31/2022</v>
      </c>
      <c r="H14" s="2"/>
      <c r="I14" s="2"/>
      <c r="J14" s="2">
        <v>3.899</v>
      </c>
      <c r="K14" s="3">
        <f t="shared" si="15"/>
        <v>153.68</v>
      </c>
      <c r="L14" s="2" t="str">
        <f t="shared" si="4"/>
        <v>4/12/2022</v>
      </c>
      <c r="M14" s="2"/>
      <c r="N14" s="2"/>
      <c r="O14" s="2">
        <v>4.0709999999999997</v>
      </c>
      <c r="P14" s="3">
        <f t="shared" si="16"/>
        <v>153.678</v>
      </c>
      <c r="Q14" s="8" t="str">
        <f t="shared" si="6"/>
        <v>4/19/2022</v>
      </c>
      <c r="R14" s="2"/>
      <c r="S14" s="2"/>
      <c r="T14" s="2">
        <v>3.7770000000000001</v>
      </c>
      <c r="U14" s="3">
        <f t="shared" si="17"/>
        <v>153.67800000000003</v>
      </c>
      <c r="V14" s="8" t="str">
        <f t="shared" si="8"/>
        <v>4/29/2022</v>
      </c>
      <c r="W14" s="2"/>
      <c r="X14" s="2"/>
      <c r="Y14" s="2">
        <v>3.879</v>
      </c>
      <c r="Z14" s="3">
        <f t="shared" si="18"/>
        <v>153.67800000000003</v>
      </c>
      <c r="AA14" s="8" t="str">
        <f t="shared" si="10"/>
        <v>5/16/2022</v>
      </c>
      <c r="AB14" s="2"/>
      <c r="AC14" s="2"/>
      <c r="AD14" s="2">
        <v>3.8010000000000002</v>
      </c>
      <c r="AE14" s="3">
        <f t="shared" si="19"/>
        <v>153.67700000000002</v>
      </c>
      <c r="AF14" s="8">
        <f t="shared" si="12"/>
        <v>44687</v>
      </c>
      <c r="AG14" s="2"/>
      <c r="AH14" s="2"/>
      <c r="AI14" s="2">
        <v>3.6819999999999999</v>
      </c>
      <c r="AJ14" s="3">
        <f t="shared" si="20"/>
        <v>153.67600000000002</v>
      </c>
    </row>
    <row r="15" spans="1:36" x14ac:dyDescent="0.25">
      <c r="A15" s="2" t="s">
        <v>24</v>
      </c>
      <c r="B15" s="2" t="str">
        <f t="shared" si="0"/>
        <v>3/24/2022</v>
      </c>
      <c r="C15" s="2"/>
      <c r="D15" s="2"/>
      <c r="E15" s="2">
        <v>3.8250000000000002</v>
      </c>
      <c r="F15" s="3">
        <f t="shared" si="14"/>
        <v>153.69200000000001</v>
      </c>
      <c r="G15" s="2" t="str">
        <f t="shared" si="2"/>
        <v>3/31/2022</v>
      </c>
      <c r="H15" s="2"/>
      <c r="I15" s="2"/>
      <c r="J15" s="2">
        <v>3.887</v>
      </c>
      <c r="K15" s="3">
        <f t="shared" si="15"/>
        <v>153.69200000000001</v>
      </c>
      <c r="L15" s="2" t="str">
        <f t="shared" si="4"/>
        <v>4/12/2022</v>
      </c>
      <c r="M15" s="2"/>
      <c r="N15" s="2"/>
      <c r="O15" s="2">
        <v>4.0579999999999998</v>
      </c>
      <c r="P15" s="3">
        <f t="shared" si="16"/>
        <v>153.691</v>
      </c>
      <c r="Q15" s="8" t="str">
        <f t="shared" si="6"/>
        <v>4/19/2022</v>
      </c>
      <c r="R15" s="2"/>
      <c r="S15" s="2"/>
      <c r="T15" s="2">
        <v>3.7650000000000001</v>
      </c>
      <c r="U15" s="3">
        <f t="shared" si="17"/>
        <v>153.69000000000003</v>
      </c>
      <c r="V15" s="8" t="str">
        <f t="shared" si="8"/>
        <v>4/29/2022</v>
      </c>
      <c r="W15" s="2"/>
      <c r="X15" s="2"/>
      <c r="Y15" s="2">
        <v>3.867</v>
      </c>
      <c r="Z15" s="3">
        <f t="shared" si="18"/>
        <v>153.69000000000003</v>
      </c>
      <c r="AA15" s="8" t="str">
        <f t="shared" si="10"/>
        <v>5/16/2022</v>
      </c>
      <c r="AB15" s="2"/>
      <c r="AC15" s="2"/>
      <c r="AD15" s="2">
        <v>3.7890000000000001</v>
      </c>
      <c r="AE15" s="3">
        <f t="shared" si="19"/>
        <v>153.68900000000002</v>
      </c>
      <c r="AF15" s="8">
        <f t="shared" si="12"/>
        <v>44687</v>
      </c>
      <c r="AG15" s="2"/>
      <c r="AH15" s="2"/>
      <c r="AI15" s="2">
        <v>3.669</v>
      </c>
      <c r="AJ15" s="3">
        <f t="shared" si="20"/>
        <v>153.68899999999999</v>
      </c>
    </row>
    <row r="16" spans="1:36" x14ac:dyDescent="0.25">
      <c r="A16" s="2" t="s">
        <v>25</v>
      </c>
      <c r="B16" s="2" t="str">
        <f t="shared" si="0"/>
        <v>3/24/2022</v>
      </c>
      <c r="C16" s="2"/>
      <c r="D16" s="2"/>
      <c r="E16" s="2">
        <v>3.835</v>
      </c>
      <c r="F16" s="3">
        <f t="shared" si="14"/>
        <v>153.68199999999999</v>
      </c>
      <c r="G16" s="2" t="str">
        <f t="shared" si="2"/>
        <v>3/31/2022</v>
      </c>
      <c r="H16" s="2"/>
      <c r="I16" s="2"/>
      <c r="J16" s="2">
        <v>3.899</v>
      </c>
      <c r="K16" s="3">
        <f t="shared" si="15"/>
        <v>153.68</v>
      </c>
      <c r="L16" s="2" t="str">
        <f t="shared" si="4"/>
        <v>4/12/2022</v>
      </c>
      <c r="M16" s="2"/>
      <c r="N16" s="2"/>
      <c r="O16" s="2">
        <v>4.0720000000000001</v>
      </c>
      <c r="P16" s="3">
        <f t="shared" si="16"/>
        <v>153.67699999999999</v>
      </c>
      <c r="Q16" s="8" t="str">
        <f t="shared" si="6"/>
        <v>4/19/2022</v>
      </c>
      <c r="R16" s="2"/>
      <c r="S16" s="2"/>
      <c r="T16" s="2">
        <v>3.7749999999999999</v>
      </c>
      <c r="U16" s="3">
        <f t="shared" si="17"/>
        <v>153.68</v>
      </c>
      <c r="V16" s="8" t="str">
        <f t="shared" si="8"/>
        <v>4/29/2022</v>
      </c>
      <c r="W16" s="2"/>
      <c r="X16" s="2"/>
      <c r="Y16" s="2">
        <v>3.8770000000000002</v>
      </c>
      <c r="Z16" s="3">
        <f t="shared" si="18"/>
        <v>153.68</v>
      </c>
      <c r="AA16" s="8" t="str">
        <f t="shared" si="10"/>
        <v>5/16/2022</v>
      </c>
      <c r="AB16" s="2"/>
      <c r="AC16" s="2"/>
      <c r="AD16" s="2">
        <v>3.7989999999999999</v>
      </c>
      <c r="AE16" s="3">
        <f t="shared" si="19"/>
        <v>153.679</v>
      </c>
      <c r="AF16" s="8">
        <f t="shared" si="12"/>
        <v>44687</v>
      </c>
      <c r="AG16" s="2"/>
      <c r="AH16" s="2"/>
      <c r="AI16" s="2">
        <v>3.68</v>
      </c>
      <c r="AJ16" s="3">
        <f t="shared" si="20"/>
        <v>153.678</v>
      </c>
    </row>
    <row r="17" spans="1:76" x14ac:dyDescent="0.25">
      <c r="A17" s="2" t="s">
        <v>26</v>
      </c>
      <c r="B17" s="2" t="str">
        <f t="shared" si="0"/>
        <v>3/24/2022</v>
      </c>
      <c r="C17" s="2"/>
      <c r="D17" s="2"/>
      <c r="E17" s="2">
        <v>3.8279999999999998</v>
      </c>
      <c r="F17" s="3">
        <f t="shared" si="14"/>
        <v>153.68899999999999</v>
      </c>
      <c r="G17" s="2" t="str">
        <f t="shared" si="2"/>
        <v>3/31/2022</v>
      </c>
      <c r="H17" s="2"/>
      <c r="I17" s="2"/>
      <c r="J17" s="2">
        <v>3.8929999999999998</v>
      </c>
      <c r="K17" s="3">
        <f t="shared" si="15"/>
        <v>153.68600000000001</v>
      </c>
      <c r="L17" s="2" t="str">
        <f t="shared" si="4"/>
        <v>4/12/2022</v>
      </c>
      <c r="M17" s="2"/>
      <c r="N17" s="2"/>
      <c r="O17" s="2">
        <v>4.0659999999999998</v>
      </c>
      <c r="P17" s="3">
        <f t="shared" si="16"/>
        <v>153.68299999999999</v>
      </c>
      <c r="Q17" s="8" t="str">
        <f t="shared" si="6"/>
        <v>4/19/2022</v>
      </c>
      <c r="R17" s="2"/>
      <c r="S17" s="2"/>
      <c r="T17" s="2">
        <v>3.7709999999999999</v>
      </c>
      <c r="U17" s="3">
        <f t="shared" si="17"/>
        <v>153.68400000000003</v>
      </c>
      <c r="V17" s="8" t="str">
        <f t="shared" si="8"/>
        <v>4/29/2022</v>
      </c>
      <c r="W17" s="2"/>
      <c r="X17" s="2"/>
      <c r="Y17" s="2">
        <v>3.8740000000000001</v>
      </c>
      <c r="Z17" s="3">
        <f t="shared" si="18"/>
        <v>153.68300000000002</v>
      </c>
      <c r="AA17" s="8" t="str">
        <f t="shared" si="10"/>
        <v>5/16/2022</v>
      </c>
      <c r="AB17" s="2"/>
      <c r="AC17" s="2"/>
      <c r="AD17" s="2">
        <v>3.7959999999999998</v>
      </c>
      <c r="AE17" s="3">
        <f t="shared" si="19"/>
        <v>153.68200000000002</v>
      </c>
      <c r="AF17" s="8">
        <f t="shared" si="12"/>
        <v>44687</v>
      </c>
      <c r="AG17" s="2"/>
      <c r="AH17" s="2"/>
      <c r="AI17" s="2">
        <v>3.6760000000000002</v>
      </c>
      <c r="AJ17" s="3">
        <f t="shared" si="20"/>
        <v>153.68200000000002</v>
      </c>
    </row>
    <row r="18" spans="1:76" x14ac:dyDescent="0.25">
      <c r="A18" s="2" t="s">
        <v>27</v>
      </c>
      <c r="B18" s="2" t="str">
        <f t="shared" si="0"/>
        <v>3/24/2022</v>
      </c>
      <c r="C18" s="2"/>
      <c r="D18" s="2"/>
      <c r="E18" s="2">
        <v>3.8239999999999998</v>
      </c>
      <c r="F18" s="3">
        <f t="shared" si="14"/>
        <v>153.69299999999998</v>
      </c>
      <c r="G18" s="2" t="str">
        <f t="shared" si="2"/>
        <v>3/31/2022</v>
      </c>
      <c r="H18" s="2"/>
      <c r="I18" s="2"/>
      <c r="J18" s="2">
        <v>3.8849999999999998</v>
      </c>
      <c r="K18" s="3">
        <f t="shared" si="15"/>
        <v>153.69400000000002</v>
      </c>
      <c r="L18" s="2" t="str">
        <f t="shared" si="4"/>
        <v>4/12/2022</v>
      </c>
      <c r="M18" s="2"/>
      <c r="N18" s="2"/>
      <c r="O18" s="2">
        <v>4.0549999999999997</v>
      </c>
      <c r="P18" s="3">
        <f t="shared" si="16"/>
        <v>153.69399999999999</v>
      </c>
      <c r="Q18" s="8" t="str">
        <f t="shared" si="6"/>
        <v>4/19/2022</v>
      </c>
      <c r="R18" s="2"/>
      <c r="S18" s="2"/>
      <c r="T18" s="2">
        <v>3.76</v>
      </c>
      <c r="U18" s="3">
        <f t="shared" si="17"/>
        <v>153.69500000000002</v>
      </c>
      <c r="V18" s="8" t="str">
        <f t="shared" si="8"/>
        <v>4/29/2022</v>
      </c>
      <c r="W18" s="2"/>
      <c r="X18" s="2"/>
      <c r="Y18" s="2">
        <v>3.863</v>
      </c>
      <c r="Z18" s="3">
        <f t="shared" si="18"/>
        <v>153.69400000000002</v>
      </c>
      <c r="AA18" s="8" t="str">
        <f t="shared" si="10"/>
        <v>5/16/2022</v>
      </c>
      <c r="AB18" s="2"/>
      <c r="AC18" s="2"/>
      <c r="AD18" s="2">
        <v>3.7839999999999998</v>
      </c>
      <c r="AE18" s="3">
        <f t="shared" si="19"/>
        <v>153.69400000000002</v>
      </c>
      <c r="AF18" s="8">
        <f t="shared" si="12"/>
        <v>44687</v>
      </c>
      <c r="AG18" s="2"/>
      <c r="AH18" s="2"/>
      <c r="AI18" s="2">
        <v>3.6639999999999997</v>
      </c>
      <c r="AJ18" s="3">
        <f t="shared" si="20"/>
        <v>153.69400000000002</v>
      </c>
    </row>
    <row r="19" spans="1:76" x14ac:dyDescent="0.25">
      <c r="A19" s="2" t="s">
        <v>28</v>
      </c>
      <c r="B19" s="2" t="str">
        <f t="shared" si="0"/>
        <v>3/24/2022</v>
      </c>
      <c r="C19" s="2"/>
      <c r="D19" s="2"/>
      <c r="E19" s="2">
        <v>3.8260000000000001</v>
      </c>
      <c r="F19" s="3">
        <f t="shared" si="14"/>
        <v>153.691</v>
      </c>
      <c r="G19" s="2" t="str">
        <f t="shared" si="2"/>
        <v>3/31/2022</v>
      </c>
      <c r="H19" s="2"/>
      <c r="I19" s="2"/>
      <c r="J19" s="2">
        <v>3.8849999999999998</v>
      </c>
      <c r="K19" s="3">
        <f t="shared" si="15"/>
        <v>153.69400000000002</v>
      </c>
      <c r="L19" s="2" t="str">
        <f t="shared" si="4"/>
        <v>4/12/2022</v>
      </c>
      <c r="M19" s="2"/>
      <c r="N19" s="2"/>
      <c r="O19" s="2">
        <v>4.0549999999999997</v>
      </c>
      <c r="P19" s="3">
        <f t="shared" si="16"/>
        <v>153.69399999999999</v>
      </c>
      <c r="Q19" s="8" t="str">
        <f t="shared" si="6"/>
        <v>4/19/2022</v>
      </c>
      <c r="R19" s="2"/>
      <c r="S19" s="2"/>
      <c r="T19" s="2">
        <v>3.76</v>
      </c>
      <c r="U19" s="3">
        <f t="shared" si="17"/>
        <v>153.69500000000002</v>
      </c>
      <c r="V19" s="8" t="str">
        <f t="shared" si="8"/>
        <v>4/29/2022</v>
      </c>
      <c r="W19" s="2"/>
      <c r="X19" s="2"/>
      <c r="Y19" s="2">
        <v>3.863</v>
      </c>
      <c r="Z19" s="3">
        <f t="shared" si="18"/>
        <v>153.69400000000002</v>
      </c>
      <c r="AA19" s="8" t="str">
        <f t="shared" si="10"/>
        <v>5/16/2022</v>
      </c>
      <c r="AB19" s="2"/>
      <c r="AC19" s="2"/>
      <c r="AD19" s="2">
        <v>3.7839999999999998</v>
      </c>
      <c r="AE19" s="3">
        <f t="shared" si="19"/>
        <v>153.69400000000002</v>
      </c>
      <c r="AF19" s="8">
        <f t="shared" si="12"/>
        <v>44687</v>
      </c>
      <c r="AG19" s="2"/>
      <c r="AH19" s="2"/>
      <c r="AI19" s="2">
        <v>3.6639999999999997</v>
      </c>
      <c r="AJ19" s="3">
        <f t="shared" si="20"/>
        <v>153.69400000000002</v>
      </c>
    </row>
    <row r="20" spans="1:76" x14ac:dyDescent="0.25">
      <c r="A20" s="2" t="s">
        <v>29</v>
      </c>
      <c r="B20" s="2" t="str">
        <f t="shared" si="0"/>
        <v>3/24/2022</v>
      </c>
      <c r="C20" s="2"/>
      <c r="D20" s="2"/>
      <c r="E20" s="2">
        <v>3.835</v>
      </c>
      <c r="F20" s="3">
        <f t="shared" si="14"/>
        <v>153.68199999999999</v>
      </c>
      <c r="G20" s="2" t="str">
        <f t="shared" si="2"/>
        <v>3/31/2022</v>
      </c>
      <c r="H20" s="2"/>
      <c r="I20" s="2"/>
      <c r="J20" s="2">
        <v>3.8969999999999998</v>
      </c>
      <c r="K20" s="3">
        <f t="shared" si="15"/>
        <v>153.68200000000002</v>
      </c>
      <c r="L20" s="2" t="str">
        <f t="shared" si="4"/>
        <v>4/12/2022</v>
      </c>
      <c r="M20" s="2"/>
      <c r="N20" s="2"/>
      <c r="O20" s="2">
        <v>4.0679999999999996</v>
      </c>
      <c r="P20" s="3">
        <f t="shared" si="16"/>
        <v>153.68099999999998</v>
      </c>
      <c r="Q20" s="8" t="str">
        <f t="shared" si="6"/>
        <v>4/19/2022</v>
      </c>
      <c r="R20" s="2"/>
      <c r="S20" s="2"/>
      <c r="T20" s="2">
        <v>3.7759999999999998</v>
      </c>
      <c r="U20" s="3">
        <f t="shared" si="17"/>
        <v>153.679</v>
      </c>
      <c r="V20" s="8" t="str">
        <f t="shared" si="8"/>
        <v>4/29/2022</v>
      </c>
      <c r="W20" s="2"/>
      <c r="X20" s="2"/>
      <c r="Y20" s="2">
        <v>3.879</v>
      </c>
      <c r="Z20" s="3">
        <f t="shared" si="18"/>
        <v>153.67800000000003</v>
      </c>
      <c r="AA20" s="8" t="str">
        <f t="shared" si="10"/>
        <v>5/16/2022</v>
      </c>
      <c r="AB20" s="2"/>
      <c r="AC20" s="2"/>
      <c r="AD20" s="2">
        <v>3.8010000000000002</v>
      </c>
      <c r="AE20" s="3">
        <f t="shared" si="19"/>
        <v>153.67700000000002</v>
      </c>
      <c r="AF20" s="8">
        <f t="shared" si="12"/>
        <v>44687</v>
      </c>
      <c r="AG20" s="2"/>
      <c r="AH20" s="2"/>
      <c r="AI20" s="2">
        <v>3.681</v>
      </c>
      <c r="AJ20" s="3">
        <f t="shared" si="20"/>
        <v>153.67699999999999</v>
      </c>
    </row>
    <row r="21" spans="1:76" x14ac:dyDescent="0.25">
      <c r="A21" s="2" t="s">
        <v>30</v>
      </c>
      <c r="B21" s="2" t="str">
        <f>$A$2</f>
        <v>3/24/2022</v>
      </c>
      <c r="C21" s="2"/>
      <c r="D21" s="2"/>
      <c r="E21" s="2">
        <v>3.8279999999999998</v>
      </c>
      <c r="F21" s="3">
        <f t="shared" si="14"/>
        <v>153.68899999999999</v>
      </c>
      <c r="G21" s="2" t="str">
        <f t="shared" si="2"/>
        <v>3/31/2022</v>
      </c>
      <c r="H21" s="2"/>
      <c r="I21" s="2"/>
      <c r="J21" s="2">
        <v>3.9</v>
      </c>
      <c r="K21" s="3">
        <f t="shared" si="15"/>
        <v>153.679</v>
      </c>
      <c r="L21" s="2" t="str">
        <f t="shared" si="4"/>
        <v>4/12/2022</v>
      </c>
      <c r="M21" s="2"/>
      <c r="N21" s="2"/>
      <c r="O21" s="2">
        <v>4.12</v>
      </c>
      <c r="P21" s="3">
        <f t="shared" si="16"/>
        <v>153.62899999999999</v>
      </c>
      <c r="Q21" s="8" t="str">
        <f t="shared" si="6"/>
        <v>4/19/2022</v>
      </c>
      <c r="R21" s="2"/>
      <c r="S21" s="2"/>
      <c r="T21" s="2">
        <v>3.7810000000000001</v>
      </c>
      <c r="U21" s="3">
        <f t="shared" si="17"/>
        <v>153.67400000000001</v>
      </c>
      <c r="V21" s="8" t="str">
        <f t="shared" si="8"/>
        <v>4/29/2022</v>
      </c>
      <c r="W21" s="2"/>
      <c r="X21" s="2"/>
      <c r="Y21" s="5">
        <v>3.883</v>
      </c>
      <c r="Z21" s="3">
        <f t="shared" si="18"/>
        <v>153.67400000000001</v>
      </c>
      <c r="AA21" s="8" t="str">
        <f>$AA$2</f>
        <v>5/16/2022</v>
      </c>
      <c r="AB21" s="2"/>
      <c r="AC21" s="2"/>
      <c r="AD21" s="2">
        <v>3.8050000000000002</v>
      </c>
      <c r="AE21" s="3">
        <f t="shared" si="19"/>
        <v>153.673</v>
      </c>
      <c r="AF21" s="8">
        <f t="shared" si="12"/>
        <v>44687</v>
      </c>
      <c r="AG21" s="2"/>
      <c r="AH21" s="2"/>
      <c r="AI21" s="2">
        <v>3.6859999999999999</v>
      </c>
      <c r="AJ21" s="3">
        <f t="shared" si="20"/>
        <v>153.672</v>
      </c>
    </row>
    <row r="22" spans="1:76" s="6" customForma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spans="1:76" s="6" customForma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</row>
    <row r="24" spans="1:76" s="6" customForma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</row>
    <row r="25" spans="1:76" s="6" customFormat="1" x14ac:dyDescent="0.25">
      <c r="A25" s="5"/>
      <c r="B25" s="17" t="s">
        <v>31</v>
      </c>
      <c r="C25" s="17"/>
      <c r="D25" s="17"/>
      <c r="E25" s="17"/>
      <c r="F25" s="17"/>
      <c r="G25" s="17"/>
      <c r="H25" s="17"/>
      <c r="I25" s="17"/>
      <c r="J25" s="17"/>
      <c r="K25" s="5"/>
      <c r="L25" s="17" t="s">
        <v>31</v>
      </c>
      <c r="M25" s="17"/>
      <c r="N25" s="17"/>
      <c r="O25" s="17"/>
      <c r="P25" s="17"/>
      <c r="Q25" s="17"/>
      <c r="R25" s="17"/>
      <c r="S25" s="17"/>
      <c r="T25" s="17"/>
      <c r="U25" s="17"/>
      <c r="V25" s="5"/>
      <c r="W25" s="17" t="s">
        <v>31</v>
      </c>
      <c r="X25" s="17"/>
      <c r="Y25" s="17"/>
      <c r="Z25" s="17"/>
      <c r="AA25" s="17"/>
      <c r="AB25" s="17"/>
      <c r="AC25" s="17"/>
      <c r="AD25" s="17"/>
      <c r="AE25" s="17"/>
      <c r="AF25" s="17"/>
      <c r="AG25" s="5"/>
      <c r="AH25" s="17" t="s">
        <v>31</v>
      </c>
      <c r="AI25" s="17"/>
      <c r="AJ25" s="17"/>
      <c r="AK25" s="17"/>
      <c r="AL25" s="17"/>
      <c r="AM25" s="17"/>
      <c r="AN25" s="17"/>
      <c r="AO25" s="17"/>
      <c r="AP25" s="17"/>
      <c r="AQ25" s="17"/>
      <c r="AS25" s="17" t="s">
        <v>31</v>
      </c>
      <c r="AT25" s="17"/>
      <c r="AU25" s="17"/>
      <c r="AV25" s="17"/>
      <c r="AW25" s="17"/>
      <c r="AX25" s="17"/>
      <c r="AY25" s="17"/>
      <c r="AZ25" s="17"/>
      <c r="BA25" s="17"/>
      <c r="BB25" s="17"/>
      <c r="BD25" s="17" t="s">
        <v>31</v>
      </c>
      <c r="BE25" s="17"/>
      <c r="BF25" s="17"/>
      <c r="BG25" s="17"/>
      <c r="BH25" s="17"/>
      <c r="BI25" s="17"/>
      <c r="BJ25" s="17"/>
      <c r="BK25" s="17"/>
      <c r="BL25" s="17"/>
      <c r="BM25" s="17"/>
      <c r="BO25" s="17" t="s">
        <v>31</v>
      </c>
      <c r="BP25" s="17"/>
      <c r="BQ25" s="17"/>
      <c r="BR25" s="17"/>
      <c r="BS25" s="17"/>
      <c r="BT25" s="17"/>
      <c r="BU25" s="17"/>
      <c r="BV25" s="17"/>
      <c r="BW25" s="17"/>
      <c r="BX25" s="17"/>
    </row>
    <row r="26" spans="1:76" s="6" customFormat="1" ht="38.25" customHeight="1" x14ac:dyDescent="0.25">
      <c r="A26" s="5"/>
      <c r="B26" s="10" t="s">
        <v>4</v>
      </c>
      <c r="C26" s="11" t="s">
        <v>32</v>
      </c>
      <c r="D26" s="12" t="s">
        <v>34</v>
      </c>
      <c r="E26" s="24" t="s">
        <v>33</v>
      </c>
      <c r="F26" s="24"/>
      <c r="G26" s="24"/>
      <c r="H26" s="24"/>
      <c r="I26" s="24"/>
      <c r="J26" s="24"/>
      <c r="K26" s="5"/>
      <c r="L26" s="10" t="s">
        <v>4</v>
      </c>
      <c r="M26" s="11" t="s">
        <v>37</v>
      </c>
      <c r="N26" s="13" t="s">
        <v>41</v>
      </c>
      <c r="O26" s="12" t="s">
        <v>34</v>
      </c>
      <c r="P26" s="18" t="s">
        <v>33</v>
      </c>
      <c r="Q26" s="19"/>
      <c r="R26" s="19"/>
      <c r="S26" s="19"/>
      <c r="T26" s="19"/>
      <c r="U26" s="20"/>
      <c r="V26" s="5"/>
      <c r="W26" s="10" t="s">
        <v>4</v>
      </c>
      <c r="X26" s="11" t="s">
        <v>42</v>
      </c>
      <c r="Y26" s="13" t="s">
        <v>41</v>
      </c>
      <c r="Z26" s="12" t="s">
        <v>34</v>
      </c>
      <c r="AA26" s="18" t="s">
        <v>33</v>
      </c>
      <c r="AB26" s="19"/>
      <c r="AC26" s="19"/>
      <c r="AD26" s="19"/>
      <c r="AE26" s="19"/>
      <c r="AF26" s="20"/>
      <c r="AG26" s="5"/>
      <c r="AH26" s="10" t="s">
        <v>4</v>
      </c>
      <c r="AI26" s="11" t="s">
        <v>43</v>
      </c>
      <c r="AJ26" s="13" t="s">
        <v>41</v>
      </c>
      <c r="AK26" s="12" t="s">
        <v>34</v>
      </c>
      <c r="AL26" s="18" t="s">
        <v>33</v>
      </c>
      <c r="AM26" s="19"/>
      <c r="AN26" s="19"/>
      <c r="AO26" s="19"/>
      <c r="AP26" s="19"/>
      <c r="AQ26" s="20"/>
      <c r="AS26" s="10" t="s">
        <v>4</v>
      </c>
      <c r="AT26" s="11" t="s">
        <v>44</v>
      </c>
      <c r="AU26" s="13" t="s">
        <v>41</v>
      </c>
      <c r="AV26" s="12" t="s">
        <v>34</v>
      </c>
      <c r="AW26" s="18" t="s">
        <v>33</v>
      </c>
      <c r="AX26" s="19"/>
      <c r="AY26" s="19"/>
      <c r="AZ26" s="19"/>
      <c r="BA26" s="19"/>
      <c r="BB26" s="20"/>
      <c r="BD26" s="10" t="s">
        <v>4</v>
      </c>
      <c r="BE26" s="11" t="s">
        <v>45</v>
      </c>
      <c r="BF26" s="13" t="s">
        <v>41</v>
      </c>
      <c r="BG26" s="12" t="s">
        <v>34</v>
      </c>
      <c r="BH26" s="18" t="s">
        <v>33</v>
      </c>
      <c r="BI26" s="19"/>
      <c r="BJ26" s="19"/>
      <c r="BK26" s="19"/>
      <c r="BL26" s="19"/>
      <c r="BM26" s="20"/>
      <c r="BO26" s="10" t="s">
        <v>4</v>
      </c>
      <c r="BP26" s="11" t="s">
        <v>46</v>
      </c>
      <c r="BQ26" s="13" t="s">
        <v>41</v>
      </c>
      <c r="BR26" s="12" t="s">
        <v>34</v>
      </c>
      <c r="BS26" s="18" t="s">
        <v>33</v>
      </c>
      <c r="BT26" s="19"/>
      <c r="BU26" s="19"/>
      <c r="BV26" s="19"/>
      <c r="BW26" s="19"/>
      <c r="BX26" s="20"/>
    </row>
    <row r="27" spans="1:76" s="6" customFormat="1" x14ac:dyDescent="0.25">
      <c r="A27" s="5"/>
      <c r="B27" s="2" t="s">
        <v>11</v>
      </c>
      <c r="C27" s="7">
        <f>F5</f>
        <v>156.697</v>
      </c>
      <c r="D27" s="7" t="s">
        <v>35</v>
      </c>
      <c r="E27" s="17" t="s">
        <v>36</v>
      </c>
      <c r="F27" s="17"/>
      <c r="G27" s="17"/>
      <c r="H27" s="17"/>
      <c r="I27" s="17"/>
      <c r="J27" s="17"/>
      <c r="K27" s="5"/>
      <c r="L27" s="2" t="s">
        <v>11</v>
      </c>
      <c r="M27" s="7">
        <f>K5-F5</f>
        <v>-1.0000000000047748E-3</v>
      </c>
      <c r="N27" s="9">
        <f>K5-F5</f>
        <v>-1.0000000000047748E-3</v>
      </c>
      <c r="O27" s="7" t="s">
        <v>38</v>
      </c>
      <c r="P27" s="14"/>
      <c r="Q27" s="15"/>
      <c r="R27" s="15"/>
      <c r="S27" s="15"/>
      <c r="T27" s="15"/>
      <c r="U27" s="16"/>
      <c r="V27" s="5"/>
      <c r="W27" s="2" t="s">
        <v>11</v>
      </c>
      <c r="X27" s="7">
        <f>P5-F5</f>
        <v>-1.0000000000047748E-3</v>
      </c>
      <c r="Y27" s="9">
        <f>P5-K5</f>
        <v>0</v>
      </c>
      <c r="Z27" s="7" t="s">
        <v>38</v>
      </c>
      <c r="AA27" s="14"/>
      <c r="AB27" s="15"/>
      <c r="AC27" s="15"/>
      <c r="AD27" s="15"/>
      <c r="AE27" s="15"/>
      <c r="AF27" s="16"/>
      <c r="AG27" s="5"/>
      <c r="AH27" s="2" t="s">
        <v>11</v>
      </c>
      <c r="AI27" s="7">
        <f>U5-F5</f>
        <v>-2.9999999999859028E-3</v>
      </c>
      <c r="AJ27" s="9">
        <f>U5-P5</f>
        <v>-1.999999999981128E-3</v>
      </c>
      <c r="AK27" s="7" t="s">
        <v>38</v>
      </c>
      <c r="AL27" s="14"/>
      <c r="AM27" s="15"/>
      <c r="AN27" s="15"/>
      <c r="AO27" s="15"/>
      <c r="AP27" s="15"/>
      <c r="AQ27" s="16"/>
      <c r="AS27" s="2" t="s">
        <v>11</v>
      </c>
      <c r="AT27" s="7">
        <f>Z5-F5</f>
        <v>-4.9999999999954525E-3</v>
      </c>
      <c r="AU27" s="9">
        <f>Z5-U5</f>
        <v>-2.0000000000095497E-3</v>
      </c>
      <c r="AV27" s="7" t="s">
        <v>38</v>
      </c>
      <c r="AW27" s="14"/>
      <c r="AX27" s="15"/>
      <c r="AY27" s="15"/>
      <c r="AZ27" s="15"/>
      <c r="BA27" s="15"/>
      <c r="BB27" s="16"/>
      <c r="BD27" s="2" t="s">
        <v>11</v>
      </c>
      <c r="BE27" s="7">
        <f>AE5-F5</f>
        <v>-6.0000000000002274E-3</v>
      </c>
      <c r="BF27" s="9">
        <f>AE5-Z5</f>
        <v>-1.0000000000047748E-3</v>
      </c>
      <c r="BG27" s="7" t="s">
        <v>38</v>
      </c>
      <c r="BH27" s="14"/>
      <c r="BI27" s="15"/>
      <c r="BJ27" s="15"/>
      <c r="BK27" s="15"/>
      <c r="BL27" s="15"/>
      <c r="BM27" s="16"/>
      <c r="BO27" s="2" t="s">
        <v>11</v>
      </c>
      <c r="BP27" s="7">
        <f t="shared" ref="BP27:BP32" si="21">AJ5-F5</f>
        <v>-7.0000000000050022E-3</v>
      </c>
      <c r="BQ27" s="9">
        <f>AJ5-AE5</f>
        <v>-1.0000000000047748E-3</v>
      </c>
      <c r="BR27" s="7" t="s">
        <v>38</v>
      </c>
      <c r="BS27" s="14"/>
      <c r="BT27" s="15"/>
      <c r="BU27" s="15"/>
      <c r="BV27" s="15"/>
      <c r="BW27" s="15"/>
      <c r="BX27" s="16"/>
    </row>
    <row r="28" spans="1:76" s="6" customFormat="1" x14ac:dyDescent="0.25">
      <c r="A28" s="5"/>
      <c r="B28" s="2" t="s">
        <v>12</v>
      </c>
      <c r="C28" s="7">
        <f t="shared" ref="C28:C43" si="22">F6</f>
        <v>156.70400000000001</v>
      </c>
      <c r="D28" s="7" t="s">
        <v>35</v>
      </c>
      <c r="E28" s="17" t="s">
        <v>36</v>
      </c>
      <c r="F28" s="17"/>
      <c r="G28" s="17"/>
      <c r="H28" s="17"/>
      <c r="I28" s="17"/>
      <c r="J28" s="17"/>
      <c r="K28" s="5"/>
      <c r="L28" s="2" t="s">
        <v>12</v>
      </c>
      <c r="M28" s="7">
        <f t="shared" ref="M28:M43" si="23">K6-F6</f>
        <v>-2.0000000000095497E-3</v>
      </c>
      <c r="N28" s="9">
        <f t="shared" ref="N28:N43" si="24">K6-F6</f>
        <v>-2.0000000000095497E-3</v>
      </c>
      <c r="O28" s="7" t="s">
        <v>38</v>
      </c>
      <c r="P28" s="14"/>
      <c r="Q28" s="15"/>
      <c r="R28" s="15"/>
      <c r="S28" s="15"/>
      <c r="T28" s="15"/>
      <c r="U28" s="16"/>
      <c r="V28" s="5"/>
      <c r="W28" s="2" t="s">
        <v>12</v>
      </c>
      <c r="X28" s="7">
        <f>P6-F6</f>
        <v>-3.0000000000143245E-3</v>
      </c>
      <c r="Y28" s="9">
        <f t="shared" ref="Y28:Y43" si="25">P6-K6</f>
        <v>-1.0000000000047748E-3</v>
      </c>
      <c r="Z28" s="7" t="s">
        <v>38</v>
      </c>
      <c r="AA28" s="14"/>
      <c r="AB28" s="15"/>
      <c r="AC28" s="15"/>
      <c r="AD28" s="15"/>
      <c r="AE28" s="15"/>
      <c r="AF28" s="16"/>
      <c r="AG28" s="5"/>
      <c r="AH28" s="2" t="s">
        <v>12</v>
      </c>
      <c r="AI28" s="7">
        <f>U6-F6</f>
        <v>-8.9999999999861302E-3</v>
      </c>
      <c r="AJ28" s="9">
        <f t="shared" ref="AJ28:AJ43" si="26">U6-P6</f>
        <v>-5.9999999999718057E-3</v>
      </c>
      <c r="AK28" s="7" t="s">
        <v>38</v>
      </c>
      <c r="AL28" s="14"/>
      <c r="AM28" s="15"/>
      <c r="AN28" s="15"/>
      <c r="AO28" s="15"/>
      <c r="AP28" s="15"/>
      <c r="AQ28" s="16"/>
      <c r="AS28" s="2" t="s">
        <v>12</v>
      </c>
      <c r="AT28" s="7">
        <f>Z6-F6</f>
        <v>-1.300000000000523E-2</v>
      </c>
      <c r="AU28" s="9">
        <f t="shared" ref="AU28:AU43" si="27">Z6-U6</f>
        <v>-4.0000000000190994E-3</v>
      </c>
      <c r="AV28" s="7" t="s">
        <v>38</v>
      </c>
      <c r="AW28" s="14"/>
      <c r="AX28" s="15"/>
      <c r="AY28" s="15"/>
      <c r="AZ28" s="15"/>
      <c r="BA28" s="15"/>
      <c r="BB28" s="16"/>
      <c r="BD28" s="2" t="s">
        <v>12</v>
      </c>
      <c r="BE28" s="7">
        <f t="shared" ref="BE28:BE41" si="28">AE6-F6</f>
        <v>-1.4000000000010004E-2</v>
      </c>
      <c r="BF28" s="9">
        <f t="shared" ref="BF28:BF43" si="29">AE6-Z6</f>
        <v>-1.0000000000047748E-3</v>
      </c>
      <c r="BG28" s="7" t="s">
        <v>38</v>
      </c>
      <c r="BH28" s="14"/>
      <c r="BI28" s="15"/>
      <c r="BJ28" s="15"/>
      <c r="BK28" s="15"/>
      <c r="BL28" s="15"/>
      <c r="BM28" s="16"/>
      <c r="BO28" s="2" t="s">
        <v>12</v>
      </c>
      <c r="BP28" s="7">
        <f t="shared" si="21"/>
        <v>-1.4000000000010004E-2</v>
      </c>
      <c r="BQ28" s="9">
        <f t="shared" ref="BQ28:BQ43" si="30">AJ6-AE6</f>
        <v>0</v>
      </c>
      <c r="BR28" s="7" t="s">
        <v>38</v>
      </c>
      <c r="BS28" s="14" t="s">
        <v>51</v>
      </c>
      <c r="BT28" s="15"/>
      <c r="BU28" s="15"/>
      <c r="BV28" s="15"/>
      <c r="BW28" s="15"/>
      <c r="BX28" s="16"/>
    </row>
    <row r="29" spans="1:76" s="6" customFormat="1" x14ac:dyDescent="0.25">
      <c r="A29" s="5"/>
      <c r="B29" s="2" t="s">
        <v>13</v>
      </c>
      <c r="C29" s="7">
        <f t="shared" si="22"/>
        <v>156.709</v>
      </c>
      <c r="D29" s="7" t="s">
        <v>35</v>
      </c>
      <c r="E29" s="17" t="s">
        <v>36</v>
      </c>
      <c r="F29" s="17"/>
      <c r="G29" s="17"/>
      <c r="H29" s="17"/>
      <c r="I29" s="17"/>
      <c r="J29" s="17"/>
      <c r="K29" s="5"/>
      <c r="L29" s="2" t="s">
        <v>13</v>
      </c>
      <c r="M29" s="7">
        <f t="shared" si="23"/>
        <v>-1.0000000000047748E-3</v>
      </c>
      <c r="N29" s="9">
        <f t="shared" si="24"/>
        <v>-1.0000000000047748E-3</v>
      </c>
      <c r="O29" s="7" t="s">
        <v>38</v>
      </c>
      <c r="P29" s="14"/>
      <c r="Q29" s="15"/>
      <c r="R29" s="15"/>
      <c r="S29" s="15"/>
      <c r="T29" s="15"/>
      <c r="U29" s="16"/>
      <c r="V29" s="5"/>
      <c r="W29" s="2" t="s">
        <v>13</v>
      </c>
      <c r="X29" s="7">
        <f t="shared" ref="X29:X42" si="31">P7-F7</f>
        <v>-7.0000000000050022E-3</v>
      </c>
      <c r="Y29" s="9">
        <f t="shared" si="25"/>
        <v>-6.0000000000002274E-3</v>
      </c>
      <c r="Z29" s="7" t="s">
        <v>38</v>
      </c>
      <c r="AA29" s="14" t="s">
        <v>48</v>
      </c>
      <c r="AB29" s="15"/>
      <c r="AC29" s="15"/>
      <c r="AD29" s="15"/>
      <c r="AE29" s="15"/>
      <c r="AF29" s="16"/>
      <c r="AG29" s="5"/>
      <c r="AH29" s="2" t="s">
        <v>13</v>
      </c>
      <c r="AI29" s="7">
        <f t="shared" ref="AI29:AI39" si="32">U7-F7</f>
        <v>-8.9999999999861302E-3</v>
      </c>
      <c r="AJ29" s="9">
        <f t="shared" si="26"/>
        <v>-1.999999999981128E-3</v>
      </c>
      <c r="AK29" s="7" t="s">
        <v>38</v>
      </c>
      <c r="AL29" s="14"/>
      <c r="AM29" s="15"/>
      <c r="AN29" s="15"/>
      <c r="AO29" s="15"/>
      <c r="AP29" s="15"/>
      <c r="AQ29" s="16"/>
      <c r="AS29" s="2" t="s">
        <v>13</v>
      </c>
      <c r="AT29" s="7">
        <f t="shared" ref="AT29:AT41" si="33">Z7-F7</f>
        <v>-1.4999999999986358E-2</v>
      </c>
      <c r="AU29" s="9">
        <f t="shared" si="27"/>
        <v>-6.0000000000002274E-3</v>
      </c>
      <c r="AV29" s="7" t="s">
        <v>38</v>
      </c>
      <c r="AW29" s="14"/>
      <c r="AX29" s="15"/>
      <c r="AY29" s="15"/>
      <c r="AZ29" s="15"/>
      <c r="BA29" s="15"/>
      <c r="BB29" s="16"/>
      <c r="BD29" s="2" t="s">
        <v>13</v>
      </c>
      <c r="BE29" s="7">
        <f t="shared" si="28"/>
        <v>-1.6999999999995907E-2</v>
      </c>
      <c r="BF29" s="9">
        <f t="shared" si="29"/>
        <v>-2.0000000000095497E-3</v>
      </c>
      <c r="BG29" s="7" t="s">
        <v>38</v>
      </c>
      <c r="BH29" s="14"/>
      <c r="BI29" s="15"/>
      <c r="BJ29" s="15"/>
      <c r="BK29" s="15"/>
      <c r="BL29" s="15"/>
      <c r="BM29" s="16"/>
      <c r="BO29" s="2" t="s">
        <v>13</v>
      </c>
      <c r="BP29" s="7">
        <f t="shared" si="21"/>
        <v>-1.6999999999995907E-2</v>
      </c>
      <c r="BQ29" s="9">
        <f t="shared" si="30"/>
        <v>0</v>
      </c>
      <c r="BR29" s="7" t="s">
        <v>38</v>
      </c>
      <c r="BS29" s="14" t="s">
        <v>51</v>
      </c>
      <c r="BT29" s="15"/>
      <c r="BU29" s="15"/>
      <c r="BV29" s="15"/>
      <c r="BW29" s="15"/>
      <c r="BX29" s="16"/>
    </row>
    <row r="30" spans="1:76" s="6" customFormat="1" x14ac:dyDescent="0.25">
      <c r="A30" s="5"/>
      <c r="B30" s="2" t="s">
        <v>14</v>
      </c>
      <c r="C30" s="7">
        <f t="shared" si="22"/>
        <v>156.696</v>
      </c>
      <c r="D30" s="7" t="s">
        <v>35</v>
      </c>
      <c r="E30" s="17" t="s">
        <v>36</v>
      </c>
      <c r="F30" s="17"/>
      <c r="G30" s="17"/>
      <c r="H30" s="17"/>
      <c r="I30" s="17"/>
      <c r="J30" s="17"/>
      <c r="K30" s="5"/>
      <c r="L30" s="2" t="s">
        <v>14</v>
      </c>
      <c r="M30" s="7">
        <f t="shared" si="23"/>
        <v>0</v>
      </c>
      <c r="N30" s="9">
        <f t="shared" si="24"/>
        <v>0</v>
      </c>
      <c r="O30" s="7" t="s">
        <v>39</v>
      </c>
      <c r="P30" s="14"/>
      <c r="Q30" s="15"/>
      <c r="R30" s="15"/>
      <c r="S30" s="15"/>
      <c r="T30" s="15"/>
      <c r="U30" s="16"/>
      <c r="V30" s="5"/>
      <c r="W30" s="2" t="s">
        <v>14</v>
      </c>
      <c r="X30" s="7">
        <f t="shared" si="31"/>
        <v>-1.0000000000047748E-3</v>
      </c>
      <c r="Y30" s="9">
        <f t="shared" si="25"/>
        <v>-1.0000000000047748E-3</v>
      </c>
      <c r="Z30" s="7" t="s">
        <v>39</v>
      </c>
      <c r="AA30" s="14"/>
      <c r="AB30" s="15"/>
      <c r="AC30" s="15"/>
      <c r="AD30" s="15"/>
      <c r="AE30" s="15"/>
      <c r="AF30" s="16"/>
      <c r="AG30" s="5"/>
      <c r="AH30" s="2" t="s">
        <v>14</v>
      </c>
      <c r="AI30" s="7">
        <f t="shared" si="32"/>
        <v>-1.999999999981128E-3</v>
      </c>
      <c r="AJ30" s="9">
        <f t="shared" si="26"/>
        <v>-9.9999999997635314E-4</v>
      </c>
      <c r="AK30" s="7" t="s">
        <v>39</v>
      </c>
      <c r="AL30" s="14"/>
      <c r="AM30" s="15"/>
      <c r="AN30" s="15"/>
      <c r="AO30" s="15"/>
      <c r="AP30" s="15"/>
      <c r="AQ30" s="16"/>
      <c r="AS30" s="2" t="s">
        <v>14</v>
      </c>
      <c r="AT30" s="7">
        <f t="shared" si="33"/>
        <v>-2.9999999999859028E-3</v>
      </c>
      <c r="AU30" s="9">
        <f t="shared" si="27"/>
        <v>-1.0000000000047748E-3</v>
      </c>
      <c r="AV30" s="7" t="s">
        <v>39</v>
      </c>
      <c r="AW30" s="14"/>
      <c r="AX30" s="15"/>
      <c r="AY30" s="15"/>
      <c r="AZ30" s="15"/>
      <c r="BA30" s="15"/>
      <c r="BB30" s="16"/>
      <c r="BD30" s="2" t="s">
        <v>14</v>
      </c>
      <c r="BE30" s="7">
        <f t="shared" si="28"/>
        <v>-3.9999999999906777E-3</v>
      </c>
      <c r="BF30" s="9">
        <f t="shared" si="29"/>
        <v>-1.0000000000047748E-3</v>
      </c>
      <c r="BG30" s="7" t="s">
        <v>39</v>
      </c>
      <c r="BH30" s="14"/>
      <c r="BI30" s="15"/>
      <c r="BJ30" s="15"/>
      <c r="BK30" s="15"/>
      <c r="BL30" s="15"/>
      <c r="BM30" s="16"/>
      <c r="BO30" s="2" t="s">
        <v>14</v>
      </c>
      <c r="BP30" s="7">
        <f t="shared" si="21"/>
        <v>-4.9999999999954525E-3</v>
      </c>
      <c r="BQ30" s="9">
        <f t="shared" si="30"/>
        <v>-1.0000000000047748E-3</v>
      </c>
      <c r="BR30" s="7" t="s">
        <v>39</v>
      </c>
      <c r="BS30" s="14"/>
      <c r="BT30" s="15"/>
      <c r="BU30" s="15"/>
      <c r="BV30" s="15"/>
      <c r="BW30" s="15"/>
      <c r="BX30" s="16"/>
    </row>
    <row r="31" spans="1:76" s="6" customFormat="1" x14ac:dyDescent="0.25">
      <c r="A31" s="5"/>
      <c r="B31" s="2" t="s">
        <v>15</v>
      </c>
      <c r="C31" s="7">
        <f t="shared" si="22"/>
        <v>156.702</v>
      </c>
      <c r="D31" s="7" t="s">
        <v>35</v>
      </c>
      <c r="E31" s="17" t="s">
        <v>36</v>
      </c>
      <c r="F31" s="17"/>
      <c r="G31" s="17"/>
      <c r="H31" s="17"/>
      <c r="I31" s="17"/>
      <c r="J31" s="17"/>
      <c r="K31" s="5"/>
      <c r="L31" s="2" t="s">
        <v>15</v>
      </c>
      <c r="M31" s="7">
        <f t="shared" si="23"/>
        <v>0</v>
      </c>
      <c r="N31" s="9">
        <f t="shared" si="24"/>
        <v>0</v>
      </c>
      <c r="O31" s="7" t="s">
        <v>39</v>
      </c>
      <c r="P31" s="14"/>
      <c r="Q31" s="15"/>
      <c r="R31" s="15"/>
      <c r="S31" s="15"/>
      <c r="T31" s="15"/>
      <c r="U31" s="16"/>
      <c r="V31" s="5"/>
      <c r="W31" s="2" t="s">
        <v>15</v>
      </c>
      <c r="X31" s="7">
        <f t="shared" si="31"/>
        <v>-1.0000000000047748E-3</v>
      </c>
      <c r="Y31" s="9">
        <f t="shared" si="25"/>
        <v>-1.0000000000047748E-3</v>
      </c>
      <c r="Z31" s="7" t="s">
        <v>39</v>
      </c>
      <c r="AA31" s="14"/>
      <c r="AB31" s="15"/>
      <c r="AC31" s="15"/>
      <c r="AD31" s="15"/>
      <c r="AE31" s="15"/>
      <c r="AF31" s="16"/>
      <c r="AG31" s="5"/>
      <c r="AH31" s="2" t="s">
        <v>15</v>
      </c>
      <c r="AI31" s="7">
        <f t="shared" si="32"/>
        <v>-2.9999999999859028E-3</v>
      </c>
      <c r="AJ31" s="9">
        <f t="shared" si="26"/>
        <v>-1.999999999981128E-3</v>
      </c>
      <c r="AK31" s="7" t="s">
        <v>39</v>
      </c>
      <c r="AL31" s="14"/>
      <c r="AM31" s="15"/>
      <c r="AN31" s="15"/>
      <c r="AO31" s="15"/>
      <c r="AP31" s="15"/>
      <c r="AQ31" s="16"/>
      <c r="AS31" s="2" t="s">
        <v>15</v>
      </c>
      <c r="AT31" s="7">
        <f>Z9-F9</f>
        <v>-3.9999999999906777E-3</v>
      </c>
      <c r="AU31" s="9">
        <f t="shared" si="27"/>
        <v>-1.0000000000047748E-3</v>
      </c>
      <c r="AV31" s="7" t="s">
        <v>39</v>
      </c>
      <c r="AW31" s="14"/>
      <c r="AX31" s="15"/>
      <c r="AY31" s="15"/>
      <c r="AZ31" s="15"/>
      <c r="BA31" s="15"/>
      <c r="BB31" s="16"/>
      <c r="BD31" s="2" t="s">
        <v>15</v>
      </c>
      <c r="BE31" s="7">
        <f t="shared" si="28"/>
        <v>-4.9999999999954525E-3</v>
      </c>
      <c r="BF31" s="9">
        <f t="shared" si="29"/>
        <v>-1.0000000000047748E-3</v>
      </c>
      <c r="BG31" s="7" t="s">
        <v>39</v>
      </c>
      <c r="BH31" s="14"/>
      <c r="BI31" s="15"/>
      <c r="BJ31" s="15"/>
      <c r="BK31" s="15"/>
      <c r="BL31" s="15"/>
      <c r="BM31" s="16"/>
      <c r="BO31" s="2" t="s">
        <v>15</v>
      </c>
      <c r="BP31" s="7">
        <f t="shared" si="21"/>
        <v>-4.9999999999954525E-3</v>
      </c>
      <c r="BQ31" s="9">
        <f t="shared" si="30"/>
        <v>0</v>
      </c>
      <c r="BR31" s="7" t="s">
        <v>39</v>
      </c>
      <c r="BS31" s="14" t="s">
        <v>51</v>
      </c>
      <c r="BT31" s="15"/>
      <c r="BU31" s="15"/>
      <c r="BV31" s="15"/>
      <c r="BW31" s="15"/>
      <c r="BX31" s="16"/>
    </row>
    <row r="32" spans="1:76" s="6" customFormat="1" x14ac:dyDescent="0.25">
      <c r="A32" s="5"/>
      <c r="B32" s="2" t="s">
        <v>16</v>
      </c>
      <c r="C32" s="7">
        <f t="shared" si="22"/>
        <v>156.71199999999999</v>
      </c>
      <c r="D32" s="7" t="s">
        <v>35</v>
      </c>
      <c r="E32" s="17" t="s">
        <v>36</v>
      </c>
      <c r="F32" s="17"/>
      <c r="G32" s="17"/>
      <c r="H32" s="17"/>
      <c r="I32" s="17"/>
      <c r="J32" s="17"/>
      <c r="K32" s="5"/>
      <c r="L32" s="2" t="s">
        <v>16</v>
      </c>
      <c r="M32" s="7">
        <f t="shared" si="23"/>
        <v>-9.9999999997635314E-4</v>
      </c>
      <c r="N32" s="9">
        <f t="shared" si="24"/>
        <v>-9.9999999997635314E-4</v>
      </c>
      <c r="O32" s="7" t="s">
        <v>38</v>
      </c>
      <c r="P32" s="14"/>
      <c r="Q32" s="15"/>
      <c r="R32" s="15"/>
      <c r="S32" s="15"/>
      <c r="T32" s="15"/>
      <c r="U32" s="16"/>
      <c r="V32" s="5"/>
      <c r="W32" s="2" t="s">
        <v>16</v>
      </c>
      <c r="X32" s="7">
        <f t="shared" si="31"/>
        <v>-9.9999999999909051E-3</v>
      </c>
      <c r="Y32" s="9">
        <f t="shared" si="25"/>
        <v>-9.0000000000145519E-3</v>
      </c>
      <c r="Z32" s="7" t="s">
        <v>38</v>
      </c>
      <c r="AA32" s="14" t="s">
        <v>48</v>
      </c>
      <c r="AB32" s="15"/>
      <c r="AC32" s="15"/>
      <c r="AD32" s="15"/>
      <c r="AE32" s="15"/>
      <c r="AF32" s="16"/>
      <c r="AG32" s="5"/>
      <c r="AH32" s="2" t="s">
        <v>16</v>
      </c>
      <c r="AI32" s="7">
        <f>U10-F10</f>
        <v>-1.1999999999972033E-2</v>
      </c>
      <c r="AJ32" s="9">
        <f t="shared" si="26"/>
        <v>-1.999999999981128E-3</v>
      </c>
      <c r="AK32" s="7" t="s">
        <v>38</v>
      </c>
      <c r="AL32" s="14"/>
      <c r="AM32" s="15"/>
      <c r="AN32" s="15"/>
      <c r="AO32" s="15"/>
      <c r="AP32" s="15"/>
      <c r="AQ32" s="16"/>
      <c r="AS32" s="2" t="s">
        <v>16</v>
      </c>
      <c r="AT32" s="7">
        <f>Z10-F10</f>
        <v>-1.3999999999981583E-2</v>
      </c>
      <c r="AU32" s="9">
        <f t="shared" si="27"/>
        <v>-2.0000000000095497E-3</v>
      </c>
      <c r="AV32" s="7" t="s">
        <v>38</v>
      </c>
      <c r="AW32" s="14"/>
      <c r="AX32" s="15"/>
      <c r="AY32" s="15"/>
      <c r="AZ32" s="15"/>
      <c r="BA32" s="15"/>
      <c r="BB32" s="16"/>
      <c r="BD32" s="2" t="s">
        <v>16</v>
      </c>
      <c r="BE32" s="7">
        <f t="shared" si="28"/>
        <v>-1.4999999999986358E-2</v>
      </c>
      <c r="BF32" s="9">
        <f t="shared" si="29"/>
        <v>-1.0000000000047748E-3</v>
      </c>
      <c r="BG32" s="7" t="s">
        <v>38</v>
      </c>
      <c r="BH32" s="14"/>
      <c r="BI32" s="15"/>
      <c r="BJ32" s="15"/>
      <c r="BK32" s="15"/>
      <c r="BL32" s="15"/>
      <c r="BM32" s="16"/>
      <c r="BO32" s="2" t="s">
        <v>16</v>
      </c>
      <c r="BP32" s="7">
        <f t="shared" si="21"/>
        <v>-1.4999999999986358E-2</v>
      </c>
      <c r="BQ32" s="9">
        <f t="shared" si="30"/>
        <v>0</v>
      </c>
      <c r="BR32" s="7" t="s">
        <v>38</v>
      </c>
      <c r="BS32" s="14" t="s">
        <v>51</v>
      </c>
      <c r="BT32" s="15"/>
      <c r="BU32" s="15"/>
      <c r="BV32" s="15"/>
      <c r="BW32" s="15"/>
      <c r="BX32" s="16"/>
    </row>
    <row r="33" spans="2:76" s="6" customFormat="1" x14ac:dyDescent="0.25">
      <c r="B33" s="2" t="s">
        <v>17</v>
      </c>
      <c r="C33" s="7">
        <f t="shared" si="22"/>
        <v>156.29900000000001</v>
      </c>
      <c r="D33" s="7" t="s">
        <v>35</v>
      </c>
      <c r="E33" s="14" t="s">
        <v>53</v>
      </c>
      <c r="F33" s="15"/>
      <c r="G33" s="15"/>
      <c r="H33" s="15"/>
      <c r="I33" s="15"/>
      <c r="J33" s="16"/>
      <c r="L33" s="2" t="s">
        <v>17</v>
      </c>
      <c r="M33" s="7">
        <f t="shared" si="23"/>
        <v>0</v>
      </c>
      <c r="N33" s="9">
        <f t="shared" si="24"/>
        <v>0</v>
      </c>
      <c r="O33" s="7" t="s">
        <v>39</v>
      </c>
      <c r="P33" s="14" t="s">
        <v>53</v>
      </c>
      <c r="Q33" s="15"/>
      <c r="R33" s="15"/>
      <c r="S33" s="15"/>
      <c r="T33" s="15"/>
      <c r="U33" s="16"/>
      <c r="W33" s="2" t="s">
        <v>17</v>
      </c>
      <c r="X33" s="7">
        <f t="shared" si="31"/>
        <v>0</v>
      </c>
      <c r="Y33" s="9">
        <f t="shared" si="25"/>
        <v>0</v>
      </c>
      <c r="Z33" s="7" t="s">
        <v>39</v>
      </c>
      <c r="AA33" s="14" t="s">
        <v>53</v>
      </c>
      <c r="AB33" s="15"/>
      <c r="AC33" s="15"/>
      <c r="AD33" s="15"/>
      <c r="AE33" s="15"/>
      <c r="AF33" s="16"/>
      <c r="AH33" s="2" t="s">
        <v>17</v>
      </c>
      <c r="AI33" s="7">
        <f>U11-F11</f>
        <v>0</v>
      </c>
      <c r="AJ33" s="9">
        <f t="shared" si="26"/>
        <v>0</v>
      </c>
      <c r="AK33" s="7" t="s">
        <v>39</v>
      </c>
      <c r="AL33" s="14" t="s">
        <v>53</v>
      </c>
      <c r="AM33" s="15"/>
      <c r="AN33" s="15"/>
      <c r="AO33" s="15"/>
      <c r="AP33" s="15"/>
      <c r="AQ33" s="16"/>
      <c r="AS33" s="2" t="s">
        <v>17</v>
      </c>
      <c r="AT33" s="7">
        <f t="shared" si="33"/>
        <v>0</v>
      </c>
      <c r="AU33" s="9">
        <f t="shared" si="27"/>
        <v>0</v>
      </c>
      <c r="AV33" s="7" t="s">
        <v>39</v>
      </c>
      <c r="AW33" s="14" t="s">
        <v>53</v>
      </c>
      <c r="AX33" s="15"/>
      <c r="AY33" s="15"/>
      <c r="AZ33" s="15"/>
      <c r="BA33" s="15"/>
      <c r="BB33" s="16"/>
      <c r="BD33" s="2" t="s">
        <v>17</v>
      </c>
      <c r="BE33" s="7">
        <f t="shared" si="28"/>
        <v>0</v>
      </c>
      <c r="BF33" s="9">
        <f t="shared" si="29"/>
        <v>0</v>
      </c>
      <c r="BG33" s="7" t="s">
        <v>39</v>
      </c>
      <c r="BH33" s="14" t="s">
        <v>53</v>
      </c>
      <c r="BI33" s="15"/>
      <c r="BJ33" s="15"/>
      <c r="BK33" s="15"/>
      <c r="BL33" s="15"/>
      <c r="BM33" s="16"/>
      <c r="BO33" s="2" t="s">
        <v>17</v>
      </c>
      <c r="BP33" s="7">
        <f t="shared" ref="BP33:BP41" si="34">AJ11-F11</f>
        <v>0</v>
      </c>
      <c r="BQ33" s="9">
        <f t="shared" si="30"/>
        <v>0</v>
      </c>
      <c r="BR33" s="7" t="s">
        <v>39</v>
      </c>
      <c r="BS33" s="14" t="s">
        <v>53</v>
      </c>
      <c r="BT33" s="15"/>
      <c r="BU33" s="15"/>
      <c r="BV33" s="15"/>
      <c r="BW33" s="15"/>
      <c r="BX33" s="16"/>
    </row>
    <row r="34" spans="2:76" x14ac:dyDescent="0.25">
      <c r="B34" s="2" t="s">
        <v>21</v>
      </c>
      <c r="C34" s="7">
        <f t="shared" si="22"/>
        <v>153.68899999999999</v>
      </c>
      <c r="D34" s="7" t="s">
        <v>35</v>
      </c>
      <c r="E34" s="17" t="s">
        <v>36</v>
      </c>
      <c r="F34" s="17"/>
      <c r="G34" s="17"/>
      <c r="H34" s="17"/>
      <c r="I34" s="17"/>
      <c r="J34" s="17"/>
      <c r="L34" s="2" t="s">
        <v>21</v>
      </c>
      <c r="M34" s="7">
        <f t="shared" si="23"/>
        <v>0</v>
      </c>
      <c r="N34" s="9">
        <f t="shared" si="24"/>
        <v>0</v>
      </c>
      <c r="O34" s="7" t="s">
        <v>39</v>
      </c>
      <c r="P34" s="14"/>
      <c r="Q34" s="15"/>
      <c r="R34" s="15"/>
      <c r="S34" s="15"/>
      <c r="T34" s="15"/>
      <c r="U34" s="16"/>
      <c r="W34" s="2" t="s">
        <v>21</v>
      </c>
      <c r="X34" s="7">
        <f>P12-F12</f>
        <v>-2.0000000000095497E-3</v>
      </c>
      <c r="Y34" s="9">
        <f t="shared" si="25"/>
        <v>-2.0000000000379714E-3</v>
      </c>
      <c r="Z34" s="7" t="s">
        <v>38</v>
      </c>
      <c r="AA34" s="14"/>
      <c r="AB34" s="15"/>
      <c r="AC34" s="15"/>
      <c r="AD34" s="15"/>
      <c r="AE34" s="15"/>
      <c r="AF34" s="16"/>
      <c r="AH34" s="2" t="s">
        <v>21</v>
      </c>
      <c r="AI34" s="7">
        <f t="shared" si="32"/>
        <v>-2.9999999999859028E-3</v>
      </c>
      <c r="AJ34" s="9">
        <f t="shared" si="26"/>
        <v>-9.9999999997635314E-4</v>
      </c>
      <c r="AK34" s="7" t="s">
        <v>38</v>
      </c>
      <c r="AL34" s="14"/>
      <c r="AM34" s="15"/>
      <c r="AN34" s="15"/>
      <c r="AO34" s="15"/>
      <c r="AP34" s="15"/>
      <c r="AQ34" s="16"/>
      <c r="AS34" s="2" t="s">
        <v>21</v>
      </c>
      <c r="AT34" s="7">
        <f>Z12-F12</f>
        <v>-5.9999999999718057E-3</v>
      </c>
      <c r="AU34" s="9">
        <f t="shared" si="27"/>
        <v>-2.9999999999859028E-3</v>
      </c>
      <c r="AV34" s="7" t="s">
        <v>38</v>
      </c>
      <c r="AW34" s="14"/>
      <c r="AX34" s="15"/>
      <c r="AY34" s="15"/>
      <c r="AZ34" s="15"/>
      <c r="BA34" s="15"/>
      <c r="BB34" s="16"/>
      <c r="BD34" s="2" t="s">
        <v>21</v>
      </c>
      <c r="BE34" s="7">
        <f t="shared" si="28"/>
        <v>-7.9999999999813554E-3</v>
      </c>
      <c r="BF34" s="9">
        <f t="shared" si="29"/>
        <v>-2.0000000000095497E-3</v>
      </c>
      <c r="BG34" s="7" t="s">
        <v>38</v>
      </c>
      <c r="BH34" s="14"/>
      <c r="BI34" s="15"/>
      <c r="BJ34" s="15"/>
      <c r="BK34" s="15"/>
      <c r="BL34" s="15"/>
      <c r="BM34" s="16"/>
      <c r="BO34" s="2" t="s">
        <v>21</v>
      </c>
      <c r="BP34" s="7">
        <f t="shared" ref="BP34:BP39" si="35">AJ12-F12</f>
        <v>-8.9999999999861302E-3</v>
      </c>
      <c r="BQ34" s="9">
        <f t="shared" si="30"/>
        <v>-1.0000000000047748E-3</v>
      </c>
      <c r="BR34" s="7" t="s">
        <v>38</v>
      </c>
      <c r="BS34" s="14"/>
      <c r="BT34" s="15"/>
      <c r="BU34" s="15"/>
      <c r="BV34" s="15"/>
      <c r="BW34" s="15"/>
      <c r="BX34" s="16"/>
    </row>
    <row r="35" spans="2:76" x14ac:dyDescent="0.25">
      <c r="B35" s="2" t="s">
        <v>22</v>
      </c>
      <c r="C35" s="7">
        <f t="shared" si="22"/>
        <v>153.63399999999999</v>
      </c>
      <c r="D35" s="7" t="s">
        <v>35</v>
      </c>
      <c r="E35" s="17" t="s">
        <v>36</v>
      </c>
      <c r="F35" s="17"/>
      <c r="G35" s="17"/>
      <c r="H35" s="17"/>
      <c r="I35" s="17"/>
      <c r="J35" s="17"/>
      <c r="L35" s="2" t="s">
        <v>22</v>
      </c>
      <c r="M35" s="7">
        <f t="shared" si="23"/>
        <v>1.1000000000024102E-2</v>
      </c>
      <c r="N35" s="9">
        <f t="shared" si="24"/>
        <v>1.1000000000024102E-2</v>
      </c>
      <c r="O35" s="7" t="s">
        <v>40</v>
      </c>
      <c r="P35" s="14" t="s">
        <v>47</v>
      </c>
      <c r="Q35" s="15"/>
      <c r="R35" s="15"/>
      <c r="S35" s="15"/>
      <c r="T35" s="15"/>
      <c r="U35" s="16"/>
      <c r="W35" s="2" t="s">
        <v>22</v>
      </c>
      <c r="X35" s="7">
        <f>P13-F13</f>
        <v>1.0000000000019327E-2</v>
      </c>
      <c r="Y35" s="9">
        <f t="shared" si="25"/>
        <v>-1.0000000000047748E-3</v>
      </c>
      <c r="Z35" s="7" t="s">
        <v>40</v>
      </c>
      <c r="AA35" s="14"/>
      <c r="AB35" s="15"/>
      <c r="AC35" s="15"/>
      <c r="AD35" s="15"/>
      <c r="AE35" s="15"/>
      <c r="AF35" s="16"/>
      <c r="AH35" s="2" t="s">
        <v>22</v>
      </c>
      <c r="AI35" s="7">
        <f>U13-F13</f>
        <v>1.1000000000024102E-2</v>
      </c>
      <c r="AJ35" s="9">
        <f t="shared" si="26"/>
        <v>1.0000000000047748E-3</v>
      </c>
      <c r="AK35" s="7" t="s">
        <v>40</v>
      </c>
      <c r="AL35" s="14"/>
      <c r="AM35" s="15"/>
      <c r="AN35" s="15"/>
      <c r="AO35" s="15"/>
      <c r="AP35" s="15"/>
      <c r="AQ35" s="16"/>
      <c r="AS35" s="2" t="s">
        <v>22</v>
      </c>
      <c r="AT35" s="7">
        <f>Z13-F13</f>
        <v>1.0000000000019327E-2</v>
      </c>
      <c r="AU35" s="9">
        <f t="shared" si="27"/>
        <v>-1.0000000000047748E-3</v>
      </c>
      <c r="AV35" s="7" t="s">
        <v>40</v>
      </c>
      <c r="AW35" s="14"/>
      <c r="AX35" s="15"/>
      <c r="AY35" s="15"/>
      <c r="AZ35" s="15"/>
      <c r="BA35" s="15"/>
      <c r="BB35" s="16"/>
      <c r="BD35" s="2" t="s">
        <v>22</v>
      </c>
      <c r="BE35" s="7">
        <f>AE13-F13</f>
        <v>1.2000000000028876E-2</v>
      </c>
      <c r="BF35" s="9">
        <f t="shared" si="29"/>
        <v>2.0000000000095497E-3</v>
      </c>
      <c r="BG35" s="7" t="s">
        <v>40</v>
      </c>
      <c r="BH35" s="14"/>
      <c r="BI35" s="15"/>
      <c r="BJ35" s="15"/>
      <c r="BK35" s="15"/>
      <c r="BL35" s="15"/>
      <c r="BM35" s="16"/>
      <c r="BO35" s="2" t="s">
        <v>22</v>
      </c>
      <c r="BP35" s="7">
        <f t="shared" si="35"/>
        <v>1.2000000000028876E-2</v>
      </c>
      <c r="BQ35" s="9">
        <f t="shared" si="30"/>
        <v>0</v>
      </c>
      <c r="BR35" s="7" t="s">
        <v>40</v>
      </c>
      <c r="BS35" s="14" t="s">
        <v>51</v>
      </c>
      <c r="BT35" s="15"/>
      <c r="BU35" s="15"/>
      <c r="BV35" s="15"/>
      <c r="BW35" s="15"/>
      <c r="BX35" s="16"/>
    </row>
    <row r="36" spans="2:76" x14ac:dyDescent="0.25">
      <c r="B36" s="2" t="s">
        <v>23</v>
      </c>
      <c r="C36" s="7">
        <f t="shared" si="22"/>
        <v>153.68199999999999</v>
      </c>
      <c r="D36" s="7" t="s">
        <v>35</v>
      </c>
      <c r="E36" s="17" t="s">
        <v>36</v>
      </c>
      <c r="F36" s="17"/>
      <c r="G36" s="17"/>
      <c r="H36" s="17"/>
      <c r="I36" s="17"/>
      <c r="J36" s="17"/>
      <c r="L36" s="2" t="s">
        <v>23</v>
      </c>
      <c r="M36" s="7">
        <f t="shared" si="23"/>
        <v>-1.999999999981128E-3</v>
      </c>
      <c r="N36" s="9">
        <f t="shared" si="24"/>
        <v>-1.999999999981128E-3</v>
      </c>
      <c r="O36" s="7" t="s">
        <v>38</v>
      </c>
      <c r="P36" s="14"/>
      <c r="Q36" s="15"/>
      <c r="R36" s="15"/>
      <c r="S36" s="15"/>
      <c r="T36" s="15"/>
      <c r="U36" s="16"/>
      <c r="W36" s="2" t="s">
        <v>23</v>
      </c>
      <c r="X36" s="7">
        <f>P14-F14</f>
        <v>-3.9999999999906777E-3</v>
      </c>
      <c r="Y36" s="9">
        <f t="shared" si="25"/>
        <v>-2.0000000000095497E-3</v>
      </c>
      <c r="Z36" s="7" t="s">
        <v>38</v>
      </c>
      <c r="AA36" s="14"/>
      <c r="AB36" s="15"/>
      <c r="AC36" s="15"/>
      <c r="AD36" s="15"/>
      <c r="AE36" s="15"/>
      <c r="AF36" s="16"/>
      <c r="AH36" s="2" t="s">
        <v>23</v>
      </c>
      <c r="AI36" s="7">
        <f>U14-F14</f>
        <v>-3.999999999962256E-3</v>
      </c>
      <c r="AJ36" s="9">
        <f t="shared" si="26"/>
        <v>0</v>
      </c>
      <c r="AK36" s="7" t="s">
        <v>38</v>
      </c>
      <c r="AL36" s="14"/>
      <c r="AM36" s="15"/>
      <c r="AN36" s="15"/>
      <c r="AO36" s="15"/>
      <c r="AP36" s="15"/>
      <c r="AQ36" s="16"/>
      <c r="AS36" s="2" t="s">
        <v>23</v>
      </c>
      <c r="AT36" s="7">
        <f t="shared" si="33"/>
        <v>-3.999999999962256E-3</v>
      </c>
      <c r="AU36" s="9">
        <f t="shared" si="27"/>
        <v>0</v>
      </c>
      <c r="AV36" s="7" t="s">
        <v>38</v>
      </c>
      <c r="AW36" s="14"/>
      <c r="AX36" s="15"/>
      <c r="AY36" s="15"/>
      <c r="AZ36" s="15"/>
      <c r="BA36" s="15"/>
      <c r="BB36" s="16"/>
      <c r="BD36" s="2" t="s">
        <v>23</v>
      </c>
      <c r="BE36" s="7">
        <f t="shared" si="28"/>
        <v>-4.9999999999670308E-3</v>
      </c>
      <c r="BF36" s="9">
        <f t="shared" si="29"/>
        <v>-1.0000000000047748E-3</v>
      </c>
      <c r="BG36" s="7" t="s">
        <v>38</v>
      </c>
      <c r="BH36" s="14"/>
      <c r="BI36" s="15"/>
      <c r="BJ36" s="15"/>
      <c r="BK36" s="15"/>
      <c r="BL36" s="15"/>
      <c r="BM36" s="16"/>
      <c r="BO36" s="2" t="s">
        <v>23</v>
      </c>
      <c r="BP36" s="7">
        <f t="shared" si="35"/>
        <v>-5.9999999999718057E-3</v>
      </c>
      <c r="BQ36" s="9">
        <f t="shared" si="30"/>
        <v>-1.0000000000047748E-3</v>
      </c>
      <c r="BR36" s="7" t="s">
        <v>38</v>
      </c>
      <c r="BS36" s="14"/>
      <c r="BT36" s="15"/>
      <c r="BU36" s="15"/>
      <c r="BV36" s="15"/>
      <c r="BW36" s="15"/>
      <c r="BX36" s="16"/>
    </row>
    <row r="37" spans="2:76" x14ac:dyDescent="0.25">
      <c r="B37" s="2" t="s">
        <v>24</v>
      </c>
      <c r="C37" s="7">
        <f t="shared" si="22"/>
        <v>153.69200000000001</v>
      </c>
      <c r="D37" s="7" t="s">
        <v>35</v>
      </c>
      <c r="E37" s="17" t="s">
        <v>36</v>
      </c>
      <c r="F37" s="17"/>
      <c r="G37" s="17"/>
      <c r="H37" s="17"/>
      <c r="I37" s="17"/>
      <c r="J37" s="17"/>
      <c r="L37" s="2" t="s">
        <v>24</v>
      </c>
      <c r="M37" s="7">
        <f t="shared" si="23"/>
        <v>0</v>
      </c>
      <c r="N37" s="9">
        <f t="shared" si="24"/>
        <v>0</v>
      </c>
      <c r="O37" s="7" t="s">
        <v>39</v>
      </c>
      <c r="P37" s="14"/>
      <c r="Q37" s="15"/>
      <c r="R37" s="15"/>
      <c r="S37" s="15"/>
      <c r="T37" s="15"/>
      <c r="U37" s="16"/>
      <c r="W37" s="2" t="s">
        <v>24</v>
      </c>
      <c r="X37" s="7">
        <f>P15-F15</f>
        <v>-1.0000000000047748E-3</v>
      </c>
      <c r="Y37" s="9">
        <f t="shared" si="25"/>
        <v>-1.0000000000047748E-3</v>
      </c>
      <c r="Z37" s="7" t="s">
        <v>39</v>
      </c>
      <c r="AA37" s="14"/>
      <c r="AB37" s="15"/>
      <c r="AC37" s="15"/>
      <c r="AD37" s="15"/>
      <c r="AE37" s="15"/>
      <c r="AF37" s="16"/>
      <c r="AH37" s="2" t="s">
        <v>24</v>
      </c>
      <c r="AI37" s="7">
        <f t="shared" si="32"/>
        <v>-1.999999999981128E-3</v>
      </c>
      <c r="AJ37" s="9">
        <f t="shared" si="26"/>
        <v>-9.9999999997635314E-4</v>
      </c>
      <c r="AK37" s="7" t="s">
        <v>38</v>
      </c>
      <c r="AL37" s="14"/>
      <c r="AM37" s="15"/>
      <c r="AN37" s="15"/>
      <c r="AO37" s="15"/>
      <c r="AP37" s="15"/>
      <c r="AQ37" s="16"/>
      <c r="AS37" s="2" t="s">
        <v>24</v>
      </c>
      <c r="AT37" s="7">
        <f>Z15-F15</f>
        <v>-1.999999999981128E-3</v>
      </c>
      <c r="AU37" s="9">
        <f t="shared" si="27"/>
        <v>0</v>
      </c>
      <c r="AV37" s="7" t="s">
        <v>38</v>
      </c>
      <c r="AW37" s="14"/>
      <c r="AX37" s="15"/>
      <c r="AY37" s="15"/>
      <c r="AZ37" s="15"/>
      <c r="BA37" s="15"/>
      <c r="BB37" s="16"/>
      <c r="BD37" s="2" t="s">
        <v>24</v>
      </c>
      <c r="BE37" s="7">
        <f>AE15-F15</f>
        <v>-2.9999999999859028E-3</v>
      </c>
      <c r="BF37" s="9">
        <f t="shared" si="29"/>
        <v>-1.0000000000047748E-3</v>
      </c>
      <c r="BG37" s="7" t="s">
        <v>38</v>
      </c>
      <c r="BH37" s="14"/>
      <c r="BI37" s="15"/>
      <c r="BJ37" s="15"/>
      <c r="BK37" s="15"/>
      <c r="BL37" s="15"/>
      <c r="BM37" s="16"/>
      <c r="BO37" s="2" t="s">
        <v>24</v>
      </c>
      <c r="BP37" s="7">
        <f t="shared" si="35"/>
        <v>-3.0000000000143245E-3</v>
      </c>
      <c r="BQ37" s="9">
        <f t="shared" si="30"/>
        <v>0</v>
      </c>
      <c r="BR37" s="7" t="s">
        <v>38</v>
      </c>
      <c r="BS37" s="14" t="s">
        <v>51</v>
      </c>
      <c r="BT37" s="15"/>
      <c r="BU37" s="15"/>
      <c r="BV37" s="15"/>
      <c r="BW37" s="15"/>
      <c r="BX37" s="16"/>
    </row>
    <row r="38" spans="2:76" x14ac:dyDescent="0.25">
      <c r="B38" s="2" t="s">
        <v>25</v>
      </c>
      <c r="C38" s="7">
        <f t="shared" si="22"/>
        <v>153.68199999999999</v>
      </c>
      <c r="D38" s="7" t="s">
        <v>35</v>
      </c>
      <c r="E38" s="17" t="s">
        <v>36</v>
      </c>
      <c r="F38" s="17"/>
      <c r="G38" s="17"/>
      <c r="H38" s="17"/>
      <c r="I38" s="17"/>
      <c r="J38" s="17"/>
      <c r="L38" s="2" t="s">
        <v>25</v>
      </c>
      <c r="M38" s="7">
        <f t="shared" si="23"/>
        <v>-1.999999999981128E-3</v>
      </c>
      <c r="N38" s="9">
        <f t="shared" si="24"/>
        <v>-1.999999999981128E-3</v>
      </c>
      <c r="O38" s="7" t="s">
        <v>38</v>
      </c>
      <c r="P38" s="14"/>
      <c r="Q38" s="15"/>
      <c r="R38" s="15"/>
      <c r="S38" s="15"/>
      <c r="T38" s="15"/>
      <c r="U38" s="16"/>
      <c r="W38" s="2" t="s">
        <v>25</v>
      </c>
      <c r="X38" s="7">
        <f>P16-F16</f>
        <v>-4.9999999999954525E-3</v>
      </c>
      <c r="Y38" s="9">
        <f t="shared" si="25"/>
        <v>-3.0000000000143245E-3</v>
      </c>
      <c r="Z38" s="7" t="s">
        <v>38</v>
      </c>
      <c r="AA38" s="14"/>
      <c r="AB38" s="15"/>
      <c r="AC38" s="15"/>
      <c r="AD38" s="15"/>
      <c r="AE38" s="15"/>
      <c r="AF38" s="16"/>
      <c r="AH38" s="2" t="s">
        <v>25</v>
      </c>
      <c r="AI38" s="7">
        <f t="shared" si="32"/>
        <v>-1.999999999981128E-3</v>
      </c>
      <c r="AJ38" s="9">
        <f t="shared" si="26"/>
        <v>3.0000000000143245E-3</v>
      </c>
      <c r="AK38" s="7" t="s">
        <v>38</v>
      </c>
      <c r="AL38" s="14"/>
      <c r="AM38" s="15"/>
      <c r="AN38" s="15"/>
      <c r="AO38" s="15"/>
      <c r="AP38" s="15"/>
      <c r="AQ38" s="16"/>
      <c r="AS38" s="2" t="s">
        <v>25</v>
      </c>
      <c r="AT38" s="7">
        <f t="shared" si="33"/>
        <v>-1.999999999981128E-3</v>
      </c>
      <c r="AU38" s="9">
        <f t="shared" si="27"/>
        <v>0</v>
      </c>
      <c r="AV38" s="7" t="s">
        <v>38</v>
      </c>
      <c r="AW38" s="14"/>
      <c r="AX38" s="15"/>
      <c r="AY38" s="15"/>
      <c r="AZ38" s="15"/>
      <c r="BA38" s="15"/>
      <c r="BB38" s="16"/>
      <c r="BD38" s="2" t="s">
        <v>25</v>
      </c>
      <c r="BE38" s="7">
        <f>AE16-F16</f>
        <v>-2.9999999999859028E-3</v>
      </c>
      <c r="BF38" s="9">
        <f t="shared" si="29"/>
        <v>-1.0000000000047748E-3</v>
      </c>
      <c r="BG38" s="7" t="s">
        <v>38</v>
      </c>
      <c r="BH38" s="14"/>
      <c r="BI38" s="15"/>
      <c r="BJ38" s="15"/>
      <c r="BK38" s="15"/>
      <c r="BL38" s="15"/>
      <c r="BM38" s="16"/>
      <c r="BO38" s="2" t="s">
        <v>25</v>
      </c>
      <c r="BP38" s="7">
        <f t="shared" si="35"/>
        <v>-3.9999999999906777E-3</v>
      </c>
      <c r="BQ38" s="9">
        <f t="shared" si="30"/>
        <v>-1.0000000000047748E-3</v>
      </c>
      <c r="BR38" s="7" t="s">
        <v>38</v>
      </c>
      <c r="BS38" s="14"/>
      <c r="BT38" s="15"/>
      <c r="BU38" s="15"/>
      <c r="BV38" s="15"/>
      <c r="BW38" s="15"/>
      <c r="BX38" s="16"/>
    </row>
    <row r="39" spans="2:76" x14ac:dyDescent="0.25">
      <c r="B39" s="2" t="s">
        <v>26</v>
      </c>
      <c r="C39" s="7">
        <f t="shared" si="22"/>
        <v>153.68899999999999</v>
      </c>
      <c r="D39" s="7" t="s">
        <v>35</v>
      </c>
      <c r="E39" s="17" t="s">
        <v>36</v>
      </c>
      <c r="F39" s="17"/>
      <c r="G39" s="17"/>
      <c r="H39" s="17"/>
      <c r="I39" s="17"/>
      <c r="J39" s="17"/>
      <c r="L39" s="2" t="s">
        <v>26</v>
      </c>
      <c r="M39" s="7">
        <f t="shared" si="23"/>
        <v>-2.9999999999859028E-3</v>
      </c>
      <c r="N39" s="9">
        <f t="shared" si="24"/>
        <v>-2.9999999999859028E-3</v>
      </c>
      <c r="O39" s="7" t="s">
        <v>38</v>
      </c>
      <c r="P39" s="14"/>
      <c r="Q39" s="15"/>
      <c r="R39" s="15"/>
      <c r="S39" s="15"/>
      <c r="T39" s="15"/>
      <c r="U39" s="16"/>
      <c r="W39" s="2" t="s">
        <v>26</v>
      </c>
      <c r="X39" s="7">
        <f t="shared" si="31"/>
        <v>-6.0000000000002274E-3</v>
      </c>
      <c r="Y39" s="9">
        <f t="shared" si="25"/>
        <v>-3.0000000000143245E-3</v>
      </c>
      <c r="Z39" s="7" t="s">
        <v>38</v>
      </c>
      <c r="AA39" s="14"/>
      <c r="AB39" s="15"/>
      <c r="AC39" s="15"/>
      <c r="AD39" s="15"/>
      <c r="AE39" s="15"/>
      <c r="AF39" s="16"/>
      <c r="AH39" s="2" t="s">
        <v>26</v>
      </c>
      <c r="AI39" s="7">
        <f t="shared" si="32"/>
        <v>-4.9999999999670308E-3</v>
      </c>
      <c r="AJ39" s="9">
        <f t="shared" si="26"/>
        <v>1.0000000000331966E-3</v>
      </c>
      <c r="AK39" s="7" t="s">
        <v>38</v>
      </c>
      <c r="AL39" s="14"/>
      <c r="AM39" s="15"/>
      <c r="AN39" s="15"/>
      <c r="AO39" s="15"/>
      <c r="AP39" s="15"/>
      <c r="AQ39" s="16"/>
      <c r="AS39" s="2" t="s">
        <v>26</v>
      </c>
      <c r="AT39" s="7">
        <f t="shared" si="33"/>
        <v>-5.9999999999718057E-3</v>
      </c>
      <c r="AU39" s="9">
        <f t="shared" si="27"/>
        <v>-1.0000000000047748E-3</v>
      </c>
      <c r="AV39" s="7" t="s">
        <v>38</v>
      </c>
      <c r="AW39" s="14"/>
      <c r="AX39" s="15"/>
      <c r="AY39" s="15"/>
      <c r="AZ39" s="15"/>
      <c r="BA39" s="15"/>
      <c r="BB39" s="16"/>
      <c r="BD39" s="2" t="s">
        <v>26</v>
      </c>
      <c r="BE39" s="7">
        <f t="shared" si="28"/>
        <v>-6.9999999999765805E-3</v>
      </c>
      <c r="BF39" s="9">
        <f t="shared" si="29"/>
        <v>-1.0000000000047748E-3</v>
      </c>
      <c r="BG39" s="7" t="s">
        <v>38</v>
      </c>
      <c r="BH39" s="14"/>
      <c r="BI39" s="15"/>
      <c r="BJ39" s="15"/>
      <c r="BK39" s="15"/>
      <c r="BL39" s="15"/>
      <c r="BM39" s="16"/>
      <c r="BO39" s="2" t="s">
        <v>26</v>
      </c>
      <c r="BP39" s="7">
        <f t="shared" si="35"/>
        <v>-6.9999999999765805E-3</v>
      </c>
      <c r="BQ39" s="9">
        <f t="shared" si="30"/>
        <v>0</v>
      </c>
      <c r="BR39" s="7" t="s">
        <v>38</v>
      </c>
      <c r="BS39" s="14" t="s">
        <v>51</v>
      </c>
      <c r="BT39" s="15"/>
      <c r="BU39" s="15"/>
      <c r="BV39" s="15"/>
      <c r="BW39" s="15"/>
      <c r="BX39" s="16"/>
    </row>
    <row r="40" spans="2:76" x14ac:dyDescent="0.25">
      <c r="B40" s="2" t="s">
        <v>27</v>
      </c>
      <c r="C40" s="7">
        <f t="shared" si="22"/>
        <v>153.69299999999998</v>
      </c>
      <c r="D40" s="7" t="s">
        <v>35</v>
      </c>
      <c r="E40" s="17" t="s">
        <v>36</v>
      </c>
      <c r="F40" s="17"/>
      <c r="G40" s="17"/>
      <c r="H40" s="17"/>
      <c r="I40" s="17"/>
      <c r="J40" s="17"/>
      <c r="L40" s="2" t="s">
        <v>27</v>
      </c>
      <c r="M40" s="7">
        <f t="shared" si="23"/>
        <v>1.0000000000331966E-3</v>
      </c>
      <c r="N40" s="9">
        <f t="shared" si="24"/>
        <v>1.0000000000331966E-3</v>
      </c>
      <c r="O40" s="7" t="s">
        <v>40</v>
      </c>
      <c r="P40" s="14"/>
      <c r="Q40" s="15"/>
      <c r="R40" s="15"/>
      <c r="S40" s="15"/>
      <c r="T40" s="15"/>
      <c r="U40" s="16"/>
      <c r="W40" s="2" t="s">
        <v>27</v>
      </c>
      <c r="X40" s="7">
        <f t="shared" si="31"/>
        <v>1.0000000000047748E-3</v>
      </c>
      <c r="Y40" s="9">
        <f t="shared" si="25"/>
        <v>0</v>
      </c>
      <c r="Z40" s="7" t="s">
        <v>40</v>
      </c>
      <c r="AA40" s="14"/>
      <c r="AB40" s="15"/>
      <c r="AC40" s="15"/>
      <c r="AD40" s="15"/>
      <c r="AE40" s="15"/>
      <c r="AF40" s="16"/>
      <c r="AH40" s="2" t="s">
        <v>27</v>
      </c>
      <c r="AI40" s="7">
        <f>U18-F18</f>
        <v>2.0000000000379714E-3</v>
      </c>
      <c r="AJ40" s="9">
        <f t="shared" si="26"/>
        <v>1.0000000000331966E-3</v>
      </c>
      <c r="AK40" s="7" t="s">
        <v>40</v>
      </c>
      <c r="AL40" s="14"/>
      <c r="AM40" s="15"/>
      <c r="AN40" s="15"/>
      <c r="AO40" s="15"/>
      <c r="AP40" s="15"/>
      <c r="AQ40" s="16"/>
      <c r="AS40" s="2" t="s">
        <v>27</v>
      </c>
      <c r="AT40" s="7">
        <f>Z18-F18</f>
        <v>1.0000000000331966E-3</v>
      </c>
      <c r="AU40" s="9">
        <f t="shared" si="27"/>
        <v>-1.0000000000047748E-3</v>
      </c>
      <c r="AV40" s="7" t="s">
        <v>40</v>
      </c>
      <c r="AW40" s="14"/>
      <c r="AX40" s="15"/>
      <c r="AY40" s="15"/>
      <c r="AZ40" s="15"/>
      <c r="BA40" s="15"/>
      <c r="BB40" s="16"/>
      <c r="BD40" s="2" t="s">
        <v>27</v>
      </c>
      <c r="BE40" s="7">
        <f t="shared" si="28"/>
        <v>1.0000000000331966E-3</v>
      </c>
      <c r="BF40" s="9">
        <f t="shared" si="29"/>
        <v>0</v>
      </c>
      <c r="BG40" s="7" t="s">
        <v>40</v>
      </c>
      <c r="BH40" s="14"/>
      <c r="BI40" s="15"/>
      <c r="BJ40" s="15"/>
      <c r="BK40" s="15"/>
      <c r="BL40" s="15"/>
      <c r="BM40" s="16"/>
      <c r="BO40" s="2" t="s">
        <v>27</v>
      </c>
      <c r="BP40" s="7">
        <f t="shared" si="34"/>
        <v>1.0000000000331966E-3</v>
      </c>
      <c r="BQ40" s="9">
        <f t="shared" si="30"/>
        <v>0</v>
      </c>
      <c r="BR40" s="7" t="s">
        <v>40</v>
      </c>
      <c r="BS40" s="14" t="s">
        <v>51</v>
      </c>
      <c r="BT40" s="15"/>
      <c r="BU40" s="15"/>
      <c r="BV40" s="15"/>
      <c r="BW40" s="15"/>
      <c r="BX40" s="16"/>
    </row>
    <row r="41" spans="2:76" x14ac:dyDescent="0.25">
      <c r="B41" s="2" t="s">
        <v>28</v>
      </c>
      <c r="C41" s="7">
        <f t="shared" si="22"/>
        <v>153.691</v>
      </c>
      <c r="D41" s="7" t="s">
        <v>35</v>
      </c>
      <c r="E41" s="17" t="s">
        <v>36</v>
      </c>
      <c r="F41" s="17"/>
      <c r="G41" s="17"/>
      <c r="H41" s="17"/>
      <c r="I41" s="17"/>
      <c r="J41" s="17"/>
      <c r="L41" s="2" t="s">
        <v>28</v>
      </c>
      <c r="M41" s="7">
        <f t="shared" si="23"/>
        <v>3.0000000000143245E-3</v>
      </c>
      <c r="N41" s="9">
        <f t="shared" si="24"/>
        <v>3.0000000000143245E-3</v>
      </c>
      <c r="O41" s="7" t="s">
        <v>40</v>
      </c>
      <c r="P41" s="14"/>
      <c r="Q41" s="15"/>
      <c r="R41" s="15"/>
      <c r="S41" s="15"/>
      <c r="T41" s="15"/>
      <c r="U41" s="16"/>
      <c r="W41" s="2" t="s">
        <v>28</v>
      </c>
      <c r="X41" s="7">
        <f t="shared" si="31"/>
        <v>2.9999999999859028E-3</v>
      </c>
      <c r="Y41" s="9">
        <f t="shared" si="25"/>
        <v>0</v>
      </c>
      <c r="Z41" s="7" t="s">
        <v>40</v>
      </c>
      <c r="AA41" s="14"/>
      <c r="AB41" s="15"/>
      <c r="AC41" s="15"/>
      <c r="AD41" s="15"/>
      <c r="AE41" s="15"/>
      <c r="AF41" s="16"/>
      <c r="AH41" s="2" t="s">
        <v>28</v>
      </c>
      <c r="AI41" s="7">
        <f>U19-F19</f>
        <v>4.0000000000190994E-3</v>
      </c>
      <c r="AJ41" s="9">
        <f t="shared" si="26"/>
        <v>1.0000000000331966E-3</v>
      </c>
      <c r="AK41" s="7" t="s">
        <v>40</v>
      </c>
      <c r="AL41" s="14"/>
      <c r="AM41" s="15"/>
      <c r="AN41" s="15"/>
      <c r="AO41" s="15"/>
      <c r="AP41" s="15"/>
      <c r="AQ41" s="16"/>
      <c r="AS41" s="2" t="s">
        <v>28</v>
      </c>
      <c r="AT41" s="7">
        <f t="shared" si="33"/>
        <v>3.0000000000143245E-3</v>
      </c>
      <c r="AU41" s="9">
        <f t="shared" si="27"/>
        <v>-1.0000000000047748E-3</v>
      </c>
      <c r="AV41" s="7" t="s">
        <v>40</v>
      </c>
      <c r="AW41" s="14"/>
      <c r="AX41" s="15"/>
      <c r="AY41" s="15"/>
      <c r="AZ41" s="15"/>
      <c r="BA41" s="15"/>
      <c r="BB41" s="16"/>
      <c r="BD41" s="2" t="s">
        <v>28</v>
      </c>
      <c r="BE41" s="7">
        <f t="shared" si="28"/>
        <v>3.0000000000143245E-3</v>
      </c>
      <c r="BF41" s="9">
        <f t="shared" si="29"/>
        <v>0</v>
      </c>
      <c r="BG41" s="7" t="s">
        <v>40</v>
      </c>
      <c r="BH41" s="14"/>
      <c r="BI41" s="15"/>
      <c r="BJ41" s="15"/>
      <c r="BK41" s="15"/>
      <c r="BL41" s="15"/>
      <c r="BM41" s="16"/>
      <c r="BO41" s="2" t="s">
        <v>28</v>
      </c>
      <c r="BP41" s="7">
        <f t="shared" si="34"/>
        <v>3.0000000000143245E-3</v>
      </c>
      <c r="BQ41" s="9">
        <f t="shared" si="30"/>
        <v>0</v>
      </c>
      <c r="BR41" s="7" t="s">
        <v>40</v>
      </c>
      <c r="BS41" s="14" t="s">
        <v>51</v>
      </c>
      <c r="BT41" s="15"/>
      <c r="BU41" s="15"/>
      <c r="BV41" s="15"/>
      <c r="BW41" s="15"/>
      <c r="BX41" s="16"/>
    </row>
    <row r="42" spans="2:76" x14ac:dyDescent="0.25">
      <c r="B42" s="2" t="s">
        <v>29</v>
      </c>
      <c r="C42" s="7">
        <f t="shared" si="22"/>
        <v>153.68199999999999</v>
      </c>
      <c r="D42" s="7" t="s">
        <v>35</v>
      </c>
      <c r="E42" s="17" t="s">
        <v>36</v>
      </c>
      <c r="F42" s="17"/>
      <c r="G42" s="17"/>
      <c r="H42" s="17"/>
      <c r="I42" s="17"/>
      <c r="J42" s="17"/>
      <c r="L42" s="2" t="s">
        <v>29</v>
      </c>
      <c r="M42" s="7">
        <f t="shared" si="23"/>
        <v>0</v>
      </c>
      <c r="N42" s="9">
        <f t="shared" si="24"/>
        <v>0</v>
      </c>
      <c r="O42" s="7" t="s">
        <v>39</v>
      </c>
      <c r="P42" s="14"/>
      <c r="Q42" s="15"/>
      <c r="R42" s="15"/>
      <c r="S42" s="15"/>
      <c r="T42" s="15"/>
      <c r="U42" s="16"/>
      <c r="W42" s="2" t="s">
        <v>29</v>
      </c>
      <c r="X42" s="7">
        <f t="shared" si="31"/>
        <v>-1.0000000000047748E-3</v>
      </c>
      <c r="Y42" s="9">
        <f t="shared" si="25"/>
        <v>-1.0000000000331966E-3</v>
      </c>
      <c r="Z42" s="7" t="s">
        <v>38</v>
      </c>
      <c r="AA42" s="14"/>
      <c r="AB42" s="15"/>
      <c r="AC42" s="15"/>
      <c r="AD42" s="15"/>
      <c r="AE42" s="15"/>
      <c r="AF42" s="16"/>
      <c r="AH42" s="2" t="s">
        <v>29</v>
      </c>
      <c r="AI42" s="7">
        <f>U20-F20</f>
        <v>-2.9999999999859028E-3</v>
      </c>
      <c r="AJ42" s="9">
        <f t="shared" si="26"/>
        <v>-1.999999999981128E-3</v>
      </c>
      <c r="AK42" s="7" t="s">
        <v>38</v>
      </c>
      <c r="AL42" s="14"/>
      <c r="AM42" s="15"/>
      <c r="AN42" s="15"/>
      <c r="AO42" s="15"/>
      <c r="AP42" s="15"/>
      <c r="AQ42" s="16"/>
      <c r="AS42" s="2" t="s">
        <v>29</v>
      </c>
      <c r="AT42" s="7">
        <f>Z20-F20</f>
        <v>-3.999999999962256E-3</v>
      </c>
      <c r="AU42" s="9">
        <f t="shared" si="27"/>
        <v>-9.9999999997635314E-4</v>
      </c>
      <c r="AV42" s="7" t="s">
        <v>38</v>
      </c>
      <c r="AW42" s="14"/>
      <c r="AX42" s="15"/>
      <c r="AY42" s="15"/>
      <c r="AZ42" s="15"/>
      <c r="BA42" s="15"/>
      <c r="BB42" s="16"/>
      <c r="BD42" s="2" t="s">
        <v>29</v>
      </c>
      <c r="BE42" s="7">
        <f>AE20-F20</f>
        <v>-4.9999999999670308E-3</v>
      </c>
      <c r="BF42" s="9">
        <f t="shared" si="29"/>
        <v>-1.0000000000047748E-3</v>
      </c>
      <c r="BG42" s="7" t="s">
        <v>38</v>
      </c>
      <c r="BH42" s="14"/>
      <c r="BI42" s="15"/>
      <c r="BJ42" s="15"/>
      <c r="BK42" s="15"/>
      <c r="BL42" s="15"/>
      <c r="BM42" s="16"/>
      <c r="BO42" s="2" t="s">
        <v>29</v>
      </c>
      <c r="BP42" s="7">
        <f>AJ20-F20</f>
        <v>-4.9999999999954525E-3</v>
      </c>
      <c r="BQ42" s="9">
        <f t="shared" si="30"/>
        <v>0</v>
      </c>
      <c r="BR42" s="7" t="s">
        <v>38</v>
      </c>
      <c r="BS42" s="14" t="s">
        <v>51</v>
      </c>
      <c r="BT42" s="15"/>
      <c r="BU42" s="15"/>
      <c r="BV42" s="15"/>
      <c r="BW42" s="15"/>
      <c r="BX42" s="16"/>
    </row>
    <row r="43" spans="2:76" x14ac:dyDescent="0.25">
      <c r="B43" s="2" t="s">
        <v>30</v>
      </c>
      <c r="C43" s="7">
        <f t="shared" si="22"/>
        <v>153.68899999999999</v>
      </c>
      <c r="D43" s="7" t="s">
        <v>35</v>
      </c>
      <c r="E43" s="17" t="s">
        <v>36</v>
      </c>
      <c r="F43" s="17"/>
      <c r="G43" s="17"/>
      <c r="H43" s="17"/>
      <c r="I43" s="17"/>
      <c r="J43" s="17"/>
      <c r="L43" s="2" t="s">
        <v>30</v>
      </c>
      <c r="M43" s="7">
        <f t="shared" si="23"/>
        <v>-9.9999999999909051E-3</v>
      </c>
      <c r="N43" s="9">
        <f t="shared" si="24"/>
        <v>-9.9999999999909051E-3</v>
      </c>
      <c r="O43" s="7" t="s">
        <v>38</v>
      </c>
      <c r="P43" s="14" t="s">
        <v>49</v>
      </c>
      <c r="Q43" s="15"/>
      <c r="R43" s="15"/>
      <c r="S43" s="15"/>
      <c r="T43" s="15"/>
      <c r="U43" s="16"/>
      <c r="W43" s="2" t="s">
        <v>30</v>
      </c>
      <c r="X43" s="7">
        <f>P21-F21</f>
        <v>-6.0000000000002274E-2</v>
      </c>
      <c r="Y43" s="9">
        <f t="shared" si="25"/>
        <v>-5.0000000000011369E-2</v>
      </c>
      <c r="Z43" s="7" t="s">
        <v>38</v>
      </c>
      <c r="AA43" s="14" t="s">
        <v>50</v>
      </c>
      <c r="AB43" s="15"/>
      <c r="AC43" s="15"/>
      <c r="AD43" s="15"/>
      <c r="AE43" s="15"/>
      <c r="AF43" s="16"/>
      <c r="AH43" s="2" t="s">
        <v>30</v>
      </c>
      <c r="AI43" s="7">
        <f>U21-F21</f>
        <v>-1.4999999999986358E-2</v>
      </c>
      <c r="AJ43" s="9">
        <f t="shared" si="26"/>
        <v>4.5000000000015916E-2</v>
      </c>
      <c r="AK43" s="7" t="s">
        <v>38</v>
      </c>
      <c r="AL43" s="14" t="s">
        <v>54</v>
      </c>
      <c r="AM43" s="15"/>
      <c r="AN43" s="15"/>
      <c r="AO43" s="15"/>
      <c r="AP43" s="15"/>
      <c r="AQ43" s="16"/>
      <c r="AS43" s="2" t="s">
        <v>30</v>
      </c>
      <c r="AT43" s="7">
        <f>Z21-F21</f>
        <v>-1.4999999999986358E-2</v>
      </c>
      <c r="AU43" s="9">
        <f t="shared" si="27"/>
        <v>0</v>
      </c>
      <c r="AV43" s="7" t="s">
        <v>38</v>
      </c>
      <c r="AW43" s="14"/>
      <c r="AX43" s="15"/>
      <c r="AY43" s="15"/>
      <c r="AZ43" s="15"/>
      <c r="BA43" s="15"/>
      <c r="BB43" s="16"/>
      <c r="BD43" s="2" t="s">
        <v>30</v>
      </c>
      <c r="BE43" s="7">
        <f>AE21-F21</f>
        <v>-1.5999999999991132E-2</v>
      </c>
      <c r="BF43" s="9">
        <f t="shared" si="29"/>
        <v>-1.0000000000047748E-3</v>
      </c>
      <c r="BG43" s="7" t="s">
        <v>38</v>
      </c>
      <c r="BH43" s="14"/>
      <c r="BI43" s="15"/>
      <c r="BJ43" s="15"/>
      <c r="BK43" s="15"/>
      <c r="BL43" s="15"/>
      <c r="BM43" s="16"/>
      <c r="BO43" s="2" t="s">
        <v>30</v>
      </c>
      <c r="BP43" s="7">
        <f>AJ21-F21</f>
        <v>-1.6999999999995907E-2</v>
      </c>
      <c r="BQ43" s="9">
        <f t="shared" si="30"/>
        <v>-1.0000000000047748E-3</v>
      </c>
      <c r="BR43" s="7" t="s">
        <v>38</v>
      </c>
      <c r="BS43" s="14" t="s">
        <v>52</v>
      </c>
      <c r="BT43" s="15"/>
      <c r="BU43" s="15"/>
      <c r="BV43" s="15"/>
      <c r="BW43" s="15"/>
      <c r="BX43" s="16"/>
    </row>
    <row r="44" spans="2:76" x14ac:dyDescent="0.25">
      <c r="H44" s="5"/>
      <c r="J44" s="4"/>
      <c r="M44" s="5"/>
      <c r="O44" s="5"/>
      <c r="P44" s="5"/>
    </row>
  </sheetData>
  <mergeCells count="141">
    <mergeCell ref="V2:Z2"/>
    <mergeCell ref="AA2:AE2"/>
    <mergeCell ref="AF2:AJ2"/>
    <mergeCell ref="A2:F2"/>
    <mergeCell ref="E29:J29"/>
    <mergeCell ref="E30:J30"/>
    <mergeCell ref="E31:J31"/>
    <mergeCell ref="E32:J32"/>
    <mergeCell ref="E33:J33"/>
    <mergeCell ref="A1:P1"/>
    <mergeCell ref="L2:P2"/>
    <mergeCell ref="G2:K2"/>
    <mergeCell ref="E27:J27"/>
    <mergeCell ref="E28:J28"/>
    <mergeCell ref="E26:J26"/>
    <mergeCell ref="B25:J25"/>
    <mergeCell ref="L25:U25"/>
    <mergeCell ref="Q2:U2"/>
    <mergeCell ref="E37:J37"/>
    <mergeCell ref="E38:J38"/>
    <mergeCell ref="E39:J39"/>
    <mergeCell ref="E40:J40"/>
    <mergeCell ref="E41:J41"/>
    <mergeCell ref="E42:J42"/>
    <mergeCell ref="E43:J43"/>
    <mergeCell ref="E34:J34"/>
    <mergeCell ref="E35:J35"/>
    <mergeCell ref="E36:J36"/>
    <mergeCell ref="P34:U34"/>
    <mergeCell ref="P35:U35"/>
    <mergeCell ref="P36:U36"/>
    <mergeCell ref="P37:U37"/>
    <mergeCell ref="P38:U38"/>
    <mergeCell ref="P39:U39"/>
    <mergeCell ref="P40:U40"/>
    <mergeCell ref="P41:U41"/>
    <mergeCell ref="P42:U42"/>
    <mergeCell ref="P43:U43"/>
    <mergeCell ref="W25:AF25"/>
    <mergeCell ref="AA26:AF26"/>
    <mergeCell ref="AA27:AF27"/>
    <mergeCell ref="AA28:AF28"/>
    <mergeCell ref="AA29:AF29"/>
    <mergeCell ref="AA30:AF30"/>
    <mergeCell ref="AA31:AF31"/>
    <mergeCell ref="AA32:AF32"/>
    <mergeCell ref="AA33:AF33"/>
    <mergeCell ref="AA34:AF34"/>
    <mergeCell ref="AA35:AF35"/>
    <mergeCell ref="AA36:AF36"/>
    <mergeCell ref="AA37:AF37"/>
    <mergeCell ref="AA38:AF38"/>
    <mergeCell ref="AA39:AF39"/>
    <mergeCell ref="P26:U26"/>
    <mergeCell ref="P27:U27"/>
    <mergeCell ref="P28:U28"/>
    <mergeCell ref="P29:U29"/>
    <mergeCell ref="P30:U30"/>
    <mergeCell ref="P31:U31"/>
    <mergeCell ref="P32:U32"/>
    <mergeCell ref="P33:U33"/>
    <mergeCell ref="AA40:AF40"/>
    <mergeCell ref="AA41:AF41"/>
    <mergeCell ref="AA42:AF42"/>
    <mergeCell ref="AA43:AF43"/>
    <mergeCell ref="AH25:AQ25"/>
    <mergeCell ref="AL26:AQ26"/>
    <mergeCell ref="AL27:AQ27"/>
    <mergeCell ref="AL28:AQ28"/>
    <mergeCell ref="AL29:AQ29"/>
    <mergeCell ref="AL30:AQ30"/>
    <mergeCell ref="AL31:AQ31"/>
    <mergeCell ref="AL32:AQ32"/>
    <mergeCell ref="AL33:AQ33"/>
    <mergeCell ref="AL34:AQ34"/>
    <mergeCell ref="AL35:AQ35"/>
    <mergeCell ref="AL36:AQ36"/>
    <mergeCell ref="AW43:BB43"/>
    <mergeCell ref="AL42:AQ42"/>
    <mergeCell ref="AL43:AQ43"/>
    <mergeCell ref="AS25:BB25"/>
    <mergeCell ref="AW26:BB26"/>
    <mergeCell ref="AW27:BB27"/>
    <mergeCell ref="AW28:BB28"/>
    <mergeCell ref="AW29:BB29"/>
    <mergeCell ref="AW30:BB30"/>
    <mergeCell ref="AW31:BB31"/>
    <mergeCell ref="AW32:BB32"/>
    <mergeCell ref="AW33:BB33"/>
    <mergeCell ref="AW34:BB34"/>
    <mergeCell ref="AW35:BB35"/>
    <mergeCell ref="AW36:BB36"/>
    <mergeCell ref="AW37:BB37"/>
    <mergeCell ref="AW38:BB38"/>
    <mergeCell ref="AL37:AQ37"/>
    <mergeCell ref="AL38:AQ38"/>
    <mergeCell ref="AL39:AQ39"/>
    <mergeCell ref="AL40:AQ40"/>
    <mergeCell ref="AL41:AQ41"/>
    <mergeCell ref="BD25:BM25"/>
    <mergeCell ref="BH26:BM26"/>
    <mergeCell ref="BH27:BM27"/>
    <mergeCell ref="BH28:BM28"/>
    <mergeCell ref="BH29:BM29"/>
    <mergeCell ref="AW39:BB39"/>
    <mergeCell ref="AW40:BB40"/>
    <mergeCell ref="AW41:BB41"/>
    <mergeCell ref="AW42:BB42"/>
    <mergeCell ref="BS34:BX34"/>
    <mergeCell ref="BS35:BX35"/>
    <mergeCell ref="BS36:BX36"/>
    <mergeCell ref="BH35:BM35"/>
    <mergeCell ref="BH36:BM36"/>
    <mergeCell ref="BH37:BM37"/>
    <mergeCell ref="BH38:BM38"/>
    <mergeCell ref="BH39:BM39"/>
    <mergeCell ref="BH30:BM30"/>
    <mergeCell ref="BH31:BM31"/>
    <mergeCell ref="BH32:BM32"/>
    <mergeCell ref="BH33:BM33"/>
    <mergeCell ref="BH34:BM34"/>
    <mergeCell ref="BO25:BX25"/>
    <mergeCell ref="BS26:BX26"/>
    <mergeCell ref="BS27:BX27"/>
    <mergeCell ref="BS28:BX28"/>
    <mergeCell ref="BS29:BX29"/>
    <mergeCell ref="BS30:BX30"/>
    <mergeCell ref="BS31:BX31"/>
    <mergeCell ref="BS32:BX32"/>
    <mergeCell ref="BS33:BX33"/>
    <mergeCell ref="BS42:BX42"/>
    <mergeCell ref="BS43:BX43"/>
    <mergeCell ref="BS37:BX37"/>
    <mergeCell ref="BS38:BX38"/>
    <mergeCell ref="BS39:BX39"/>
    <mergeCell ref="BS40:BX40"/>
    <mergeCell ref="BS41:BX41"/>
    <mergeCell ref="BH40:BM40"/>
    <mergeCell ref="BH41:BM41"/>
    <mergeCell ref="BH42:BM42"/>
    <mergeCell ref="BH43:BM4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AA7BC-0901-4B18-8390-C5AC61DBAEE1}">
  <dimension ref="A1"/>
  <sheetViews>
    <sheetView topLeftCell="A5" workbookViewId="0">
      <selection activeCell="Q27" sqref="Q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Control de asentamientos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Ruiz</cp:lastModifiedBy>
  <dcterms:created xsi:type="dcterms:W3CDTF">2026-09-01T22:41:45Z</dcterms:created>
  <dcterms:modified xsi:type="dcterms:W3CDTF">2026-09-14T03:15:46Z</dcterms:modified>
</cp:coreProperties>
</file>