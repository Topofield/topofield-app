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activeTab="1"/>
  </bookViews>
  <sheets>
    <sheet sheetId="1" name="NIVELACION" state="visible" r:id="rId4"/>
    <sheet sheetId="2" name="CONTRANIVELACION" state="visible" r:id="rId5"/>
    <sheet sheetId="3" name="NIVELACION CORREGIDA" state="visible" r:id="rId6"/>
    <sheet sheetId="4" name="CONTRANIVELACION CORREGIDA" state="visible" r:id="rId7"/>
    <sheet sheetId="5" name="CIERRE CORREGIDO" state="visible" r:id="rId8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L9" authorId="0">
      <text>
        <r>
          <t>Hilo inferior ausente en la cartera; distancia tomada de la hoja original.</t>
        </r>
      </text>
    </comment>
    <comment ref="L13" authorId="0">
      <text>
        <r>
          <t>Hilo inferior ausente en la cartera; distancia tomada de la hoja original.</t>
        </r>
      </text>
    </comment>
  </commentList>
</comments>
</file>

<file path=xl/sharedStrings.xml><?xml version="1.0" encoding="utf-8"?>
<sst xmlns="http://schemas.openxmlformats.org/spreadsheetml/2006/main" count="172" uniqueCount="78">
  <si>
    <t>PUNTO</t>
  </si>
  <si>
    <t>V+</t>
  </si>
  <si>
    <t>HI</t>
  </si>
  <si>
    <t>V-</t>
  </si>
  <si>
    <t>VI</t>
  </si>
  <si>
    <t>COTA</t>
  </si>
  <si>
    <t>DISTANCIA V+</t>
  </si>
  <si>
    <t>DISTANCIA V-</t>
  </si>
  <si>
    <t>D1</t>
  </si>
  <si>
    <t>C 1</t>
  </si>
  <si>
    <t>C 2</t>
  </si>
  <si>
    <t xml:space="preserve">C 3 </t>
  </si>
  <si>
    <t>AUX1</t>
  </si>
  <si>
    <t>C 4</t>
  </si>
  <si>
    <t xml:space="preserve">C 5 </t>
  </si>
  <si>
    <t>C 6</t>
  </si>
  <si>
    <t>C 7</t>
  </si>
  <si>
    <t>D3</t>
  </si>
  <si>
    <t>C 8</t>
  </si>
  <si>
    <t>D4</t>
  </si>
  <si>
    <t>Distancia total</t>
  </si>
  <si>
    <t>Correccion</t>
  </si>
  <si>
    <t>Cotas finales a 3 CIFRAS DECIMAL</t>
  </si>
  <si>
    <t xml:space="preserve">ERROR </t>
  </si>
  <si>
    <t>COMPENSACION</t>
  </si>
  <si>
    <t xml:space="preserve">C 8 </t>
  </si>
  <si>
    <t>Error Cierre Orden 4</t>
  </si>
  <si>
    <t>---</t>
  </si>
  <si>
    <t>C 5</t>
  </si>
  <si>
    <t>AUX 1</t>
  </si>
  <si>
    <t>C 3</t>
  </si>
  <si>
    <t>DISTANCIA TOTAL</t>
  </si>
  <si>
    <t>Error de cierre admisible</t>
  </si>
  <si>
    <t>NIVELACIÓN (IDA) — CORREGIDA</t>
  </si>
  <si>
    <t>Reconstruida desde la hoja NIVELACION. Correcciones: distancia del tramo suma las dos visuales; la vista intermedia no rompe la cadena; el total suma todas las visuales.</t>
  </si>
  <si>
    <t>TIPO</t>
  </si>
  <si>
    <t>HS (V+)</t>
  </si>
  <si>
    <t>HM (V+)</t>
  </si>
  <si>
    <t>HI (V+)</t>
  </si>
  <si>
    <t>HS (V-)</t>
  </si>
  <si>
    <t>HM (V-)</t>
  </si>
  <si>
    <t>HI (V-)</t>
  </si>
  <si>
    <t>ALTURA INSTR.</t>
  </si>
  <si>
    <t>DIST V+</t>
  </si>
  <si>
    <t>DIST V-</t>
  </si>
  <si>
    <t>DIST TRAMO</t>
  </si>
  <si>
    <t>DIST ACUM (m)</t>
  </si>
  <si>
    <t>CORRECCION (m)</t>
  </si>
  <si>
    <t>COTA COMPENSADA</t>
  </si>
  <si>
    <t>bm</t>
  </si>
  <si>
    <t>pc</t>
  </si>
  <si>
    <t>vi</t>
  </si>
  <si>
    <t>ΣV+</t>
  </si>
  <si>
    <t>ΣV-</t>
  </si>
  <si>
    <t>Desnivel (ΣV+ − ΣV-)</t>
  </si>
  <si>
    <t>Comprobación (Cota_f − Cota_i)</t>
  </si>
  <si>
    <t>Diferencia (debe ser 0)</t>
  </si>
  <si>
    <t>DISTANCIA TOTAL (m)</t>
  </si>
  <si>
    <t>← suma todas las visuales; la vista intermedia no rompe la cadena</t>
  </si>
  <si>
    <t>CONTRANIVELACIÓN (VUELTA) — CORREGIDA</t>
  </si>
  <si>
    <t>Reconstruida desde la hoja CONTRANIVELACION. Corrige además el parche de la columna B y las fórmulas rotas de AUX 1, que hacían perder 24.7 m del total.</t>
  </si>
  <si>
    <t>CIERRE Y COMPENSACIÓN — CORREGIDOS</t>
  </si>
  <si>
    <t>La hoja original repartía el error en 11 partes iguales y sumaba la MISMA constante a todas las cotas: eso desplaza el recorrido en bloque, no compensa el error acumulado.</t>
  </si>
  <si>
    <t>Desnivel ida (m)</t>
  </si>
  <si>
    <t>Desnivel vuelta (m)</t>
  </si>
  <si>
    <t>Discrepancia ida+vuelta (mm)</t>
  </si>
  <si>
    <t>el control de un recorrido abierto medido dos veces</t>
  </si>
  <si>
    <t>Distancia ida (m)</t>
  </si>
  <si>
    <t>Distancia vuelta (m)</t>
  </si>
  <si>
    <t>la hoja original decía 372.9: le faltaban 24.7 m</t>
  </si>
  <si>
    <t>K del orden (tercer)</t>
  </si>
  <si>
    <t>tabla del proyecto: 3 / 6 / 12 / 24</t>
  </si>
  <si>
    <t>Tolerancia ida (mm)</t>
  </si>
  <si>
    <t>K·√D con la distancia del PROPIO recorrido</t>
  </si>
  <si>
    <t>Tolerancia vuelta (mm)</t>
  </si>
  <si>
    <t>Veredicto</t>
  </si>
  <si>
    <t>COMPENSACIÓN PROPORCIONAL A LA DISTANCIA (ida)</t>
  </si>
  <si>
    <t>Corr_i = −Error × (d_acum_i / D_total)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</si>
</sst>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0"/>
    <numFmt numFmtId="166" formatCode="0.0"/>
  </numFmts>
  <fonts count="6" x14ac:knownFonts="1">
    <font>
      <color theme="1"/>
      <family val="2"/>
      <scheme val="minor"/>
      <sz val="11"/>
      <name val="Calibri"/>
    </font>
    <font>
      <color rgb="FF00B050"/>
      <family val="2"/>
      <scheme val="minor"/>
      <sz val="11"/>
      <name val="Calibri"/>
    </font>
    <font>
      <b/>
      <sz val="14"/>
    </font>
    <font>
      <i/>
      <sz val="10"/>
    </font>
    <font>
      <b/>
    </font>
    <font>
      <i/>
      <sz val="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164" fontId="0" fillId="0" borderId="0" xfId="0" applyNumberForma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164" fontId="1" fillId="0" borderId="0" xfId="0" applyNumberFormat="1" applyFont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0" fontId="0" fillId="0" borderId="9" xfId="0" applyBorder="1"/>
    <xf numFmtId="0" fontId="1" fillId="0" borderId="0" xfId="0" applyFont="1" applyAlignment="1">
      <alignment horizontal="center" vertical="center"/>
    </xf>
    <xf numFmtId="165" fontId="0" fillId="0" borderId="1" xfId="0" applyNumberFormat="1" applyBorder="1"/>
    <xf numFmtId="0" fontId="0" fillId="0" borderId="10" xfId="0" applyBorder="1" applyAlignment="1">
      <alignment horizontal="center" vertical="center"/>
    </xf>
    <xf numFmtId="0" fontId="0" fillId="0" borderId="0" xfId="0" applyAlignment="1">
      <alignment wrapText="1"/>
    </xf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"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46</xdr:row>
      <xdr:rowOff>0</xdr:rowOff>
    </xdr:from>
    <xdr:to>
      <xdr:col>8</xdr:col>
      <xdr:colOff>629526</xdr:colOff>
      <xdr:row>58</xdr:row>
      <xdr:rowOff>171818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46"/>
  <sheetViews>
    <sheetView workbookViewId="0" zoomScale="100" zoomScaleNormal="100">
      <selection activeCell="G47" sqref="G47"/>
    </sheetView>
  </sheetViews>
  <sheetFormatPr defaultRowHeight="15" outlineLevelRow="0" outlineLevelCol="0" x14ac:dyDescent="0.25"/>
  <cols>
    <col min="8" max="8" width="14" style="1" customWidth="1"/>
    <col min="12" max="12" width="14.85546875" customWidth="1"/>
  </cols>
  <sheetData>
    <row r="1" spans="3:11" x14ac:dyDescent="0.25"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K1" t="s">
        <v>7</v>
      </c>
    </row>
    <row r="2" spans="3:8" x14ac:dyDescent="0.25">
      <c r="C2" s="2" t="s">
        <v>8</v>
      </c>
      <c r="D2" s="3">
        <v>1.367</v>
      </c>
      <c r="E2" s="1"/>
      <c r="H2" s="4">
        <v>3288.5</v>
      </c>
    </row>
    <row r="3" spans="3:9" x14ac:dyDescent="0.25">
      <c r="C3" s="2"/>
      <c r="D3" s="5">
        <v>1.209</v>
      </c>
      <c r="E3" s="1">
        <f>H2+D3</f>
        <v>3289.709</v>
      </c>
      <c r="I3">
        <f>(D2-D4)*100</f>
        <v>31.499999999999993</v>
      </c>
    </row>
    <row r="4" spans="3:13" x14ac:dyDescent="0.25">
      <c r="C4" s="2"/>
      <c r="D4" s="6">
        <v>1.052</v>
      </c>
      <c r="E4" s="1"/>
      <c r="M4">
        <f>I3+K6</f>
        <v>59.999999999999986</v>
      </c>
    </row>
    <row r="5" spans="3:6" x14ac:dyDescent="0.25">
      <c r="C5" s="2" t="s">
        <v>9</v>
      </c>
      <c r="D5" s="3">
        <v>3.416</v>
      </c>
      <c r="E5" s="1"/>
      <c r="F5" s="3">
        <v>0.41</v>
      </c>
    </row>
    <row r="6" spans="3:11" x14ac:dyDescent="0.25">
      <c r="C6" s="2"/>
      <c r="D6" s="5">
        <v>3.275</v>
      </c>
      <c r="E6" s="1">
        <f>H6+D6</f>
        <v>3292.716</v>
      </c>
      <c r="F6" s="5">
        <v>0.268</v>
      </c>
      <c r="H6" s="1">
        <f>E3-F6</f>
        <v>3289.441</v>
      </c>
      <c r="I6">
        <f>(D5-D7)*100</f>
        <v>28.100000000000016</v>
      </c>
      <c r="K6">
        <f>(F5-F7)*100</f>
        <v>28.499999999999996</v>
      </c>
    </row>
    <row r="7" spans="3:13" x14ac:dyDescent="0.25">
      <c r="C7" s="2"/>
      <c r="D7" s="6">
        <v>3.135</v>
      </c>
      <c r="E7" s="1"/>
      <c r="F7" s="6">
        <v>0.125</v>
      </c>
      <c r="M7">
        <f>I6+K9</f>
        <v>45.40000000000001</v>
      </c>
    </row>
    <row r="8" spans="3:6" x14ac:dyDescent="0.25">
      <c r="C8" s="2" t="s">
        <v>10</v>
      </c>
      <c r="D8" s="3">
        <v>3.578</v>
      </c>
      <c r="E8" s="1"/>
      <c r="F8" s="3">
        <v>0.31</v>
      </c>
    </row>
    <row r="9" spans="3:11" x14ac:dyDescent="0.25">
      <c r="C9" s="2"/>
      <c r="D9" s="5">
        <v>3.469</v>
      </c>
      <c r="E9" s="1">
        <f>H9+D9</f>
        <v>3295.961</v>
      </c>
      <c r="F9" s="5">
        <v>0.224</v>
      </c>
      <c r="H9" s="1">
        <f>E6-F9</f>
        <v>3292.4919999999997</v>
      </c>
      <c r="I9">
        <f>(D8-D10)*100</f>
        <v>21.899999999999984</v>
      </c>
      <c r="K9">
        <f>(F8-F10)*100</f>
        <v>17.299999999999997</v>
      </c>
    </row>
    <row r="10" spans="3:13" x14ac:dyDescent="0.25">
      <c r="C10" s="2"/>
      <c r="D10" s="6">
        <v>3.359</v>
      </c>
      <c r="E10" s="1"/>
      <c r="F10" s="6">
        <v>0.137</v>
      </c>
      <c r="M10">
        <f>I9+K12</f>
        <v>33.59999999999998</v>
      </c>
    </row>
    <row r="11" spans="3:6" x14ac:dyDescent="0.25">
      <c r="C11" s="2" t="s">
        <v>11</v>
      </c>
      <c r="D11" s="3">
        <v>4.08</v>
      </c>
      <c r="E11" s="1"/>
      <c r="F11" s="3">
        <v>0.15</v>
      </c>
    </row>
    <row r="12" spans="3:11" x14ac:dyDescent="0.25">
      <c r="C12" s="2"/>
      <c r="D12" s="5">
        <v>3.952</v>
      </c>
      <c r="E12" s="1">
        <f>H12+D12</f>
        <v>3299.821</v>
      </c>
      <c r="F12" s="5">
        <v>0.092</v>
      </c>
      <c r="H12" s="1">
        <f>E9-F12</f>
        <v>3295.8689999999997</v>
      </c>
      <c r="I12">
        <f>(D11-D13)*100</f>
        <v>25.49999999999999</v>
      </c>
      <c r="K12">
        <f>(F11-F13)*100</f>
        <v>11.7</v>
      </c>
    </row>
    <row r="13" spans="3:13" x14ac:dyDescent="0.25">
      <c r="C13" s="2"/>
      <c r="D13" s="6">
        <v>3.825</v>
      </c>
      <c r="E13" s="1"/>
      <c r="F13" s="6">
        <v>0.033</v>
      </c>
      <c r="M13">
        <f>I12+K15</f>
        <v>25.49999999999999</v>
      </c>
    </row>
    <row r="14" spans="3:7" x14ac:dyDescent="0.25">
      <c r="C14" s="2" t="s">
        <v>12</v>
      </c>
      <c r="G14" s="3">
        <v>0.271</v>
      </c>
    </row>
    <row r="15" spans="3:8" x14ac:dyDescent="0.25">
      <c r="C15" s="2"/>
      <c r="G15" s="5">
        <v>0.194</v>
      </c>
      <c r="H15" s="1">
        <f>E12-G15</f>
        <v>3299.627</v>
      </c>
    </row>
    <row r="16" spans="3:13" x14ac:dyDescent="0.25">
      <c r="C16" s="2"/>
      <c r="G16" s="6">
        <v>0.116</v>
      </c>
      <c r="M16">
        <f>I15+K18</f>
        <v>15.1</v>
      </c>
    </row>
    <row r="17" spans="3:6" x14ac:dyDescent="0.25">
      <c r="C17" s="2" t="s">
        <v>13</v>
      </c>
      <c r="D17" s="3">
        <v>3.411</v>
      </c>
      <c r="E17" s="1"/>
      <c r="F17" s="3">
        <v>0.319</v>
      </c>
    </row>
    <row r="18" spans="3:11" x14ac:dyDescent="0.25">
      <c r="C18" s="2"/>
      <c r="D18" s="5">
        <v>3.314</v>
      </c>
      <c r="E18" s="1">
        <f>H18+D18</f>
        <v>3302.8909999999996</v>
      </c>
      <c r="F18" s="5">
        <v>0.244</v>
      </c>
      <c r="H18" s="1">
        <f>E12-F18</f>
        <v>3299.5769999999998</v>
      </c>
      <c r="I18">
        <f>(D17-D19)*100</f>
        <v>19.600000000000016</v>
      </c>
      <c r="K18">
        <f>(F17-F19)*100</f>
        <v>15.1</v>
      </c>
    </row>
    <row r="19" spans="3:13" x14ac:dyDescent="0.25">
      <c r="C19" s="2"/>
      <c r="D19" s="6">
        <v>3.215</v>
      </c>
      <c r="E19" s="1"/>
      <c r="F19" s="6">
        <v>0.168</v>
      </c>
      <c r="M19">
        <f>I18+K21</f>
        <v>36.20000000000002</v>
      </c>
    </row>
    <row r="20" spans="3:6" x14ac:dyDescent="0.25">
      <c r="C20" s="2" t="s">
        <v>14</v>
      </c>
      <c r="D20">
        <v>3.104</v>
      </c>
      <c r="E20" s="1"/>
      <c r="F20" s="3">
        <v>0.207</v>
      </c>
    </row>
    <row r="21" spans="3:11" x14ac:dyDescent="0.25">
      <c r="C21" s="2"/>
      <c r="D21">
        <v>3.013</v>
      </c>
      <c r="E21" s="1">
        <f>H21+D21</f>
        <v>3305.7799999999997</v>
      </c>
      <c r="F21" s="5">
        <v>0.124</v>
      </c>
      <c r="H21" s="1">
        <f>E18-F21</f>
        <v>3302.767</v>
      </c>
      <c r="I21">
        <f>(D20-D22)*100</f>
        <v>18.100000000000005</v>
      </c>
      <c r="K21">
        <f>(F20-F22)*100</f>
        <v>16.599999999999998</v>
      </c>
    </row>
    <row r="22" spans="3:13" x14ac:dyDescent="0.25">
      <c r="C22" s="2"/>
      <c r="D22">
        <v>2.923</v>
      </c>
      <c r="E22" s="1"/>
      <c r="F22" s="6">
        <v>0.041</v>
      </c>
      <c r="M22">
        <f>I21+K24</f>
        <v>33.60000000000001</v>
      </c>
    </row>
    <row r="23" spans="3:6" x14ac:dyDescent="0.25">
      <c r="C23" s="2" t="s">
        <v>15</v>
      </c>
      <c r="D23" s="3">
        <v>3.665</v>
      </c>
      <c r="E23" s="1"/>
      <c r="F23" s="3">
        <v>0.222</v>
      </c>
    </row>
    <row r="24" spans="3:11" x14ac:dyDescent="0.25">
      <c r="C24" s="2"/>
      <c r="D24" s="5">
        <v>3.549</v>
      </c>
      <c r="E24" s="1">
        <f>H24+D24</f>
        <v>3309.1839999999997</v>
      </c>
      <c r="F24" s="5">
        <v>0.145</v>
      </c>
      <c r="H24" s="1">
        <f>E21-F24</f>
        <v>3305.6349999999998</v>
      </c>
      <c r="I24">
        <f>(D23-D25)*100</f>
        <v>23.099999999999987</v>
      </c>
      <c r="K24">
        <f>(F23-F25)*100</f>
        <v>15.5</v>
      </c>
    </row>
    <row r="25" spans="3:13" x14ac:dyDescent="0.25">
      <c r="C25" s="2"/>
      <c r="D25" s="5">
        <v>3.434</v>
      </c>
      <c r="E25" s="1"/>
      <c r="F25" s="6">
        <v>0.067</v>
      </c>
      <c r="M25">
        <f>I24+K27</f>
        <v>37.999999999999986</v>
      </c>
    </row>
    <row r="26" spans="3:6" x14ac:dyDescent="0.25">
      <c r="C26" s="7" t="s">
        <v>16</v>
      </c>
      <c r="D26" s="3">
        <v>3.281</v>
      </c>
      <c r="E26" s="1"/>
      <c r="F26" s="3">
        <v>0.206</v>
      </c>
    </row>
    <row r="27" spans="3:11" x14ac:dyDescent="0.25">
      <c r="C27" s="7"/>
      <c r="D27" s="5">
        <v>3.16</v>
      </c>
      <c r="E27" s="1">
        <f>H27+D27</f>
        <v>3312.2119999999995</v>
      </c>
      <c r="F27" s="5">
        <v>0.132</v>
      </c>
      <c r="H27" s="1">
        <f>E24-F27</f>
        <v>3309.0519999999997</v>
      </c>
      <c r="I27">
        <f>(D26-D28)*100</f>
        <v>24.2</v>
      </c>
      <c r="K27">
        <f>(F26-F28)*100</f>
        <v>14.899999999999999</v>
      </c>
    </row>
    <row r="28" spans="3:13" x14ac:dyDescent="0.25">
      <c r="C28" s="7"/>
      <c r="D28" s="6">
        <v>3.039</v>
      </c>
      <c r="E28" s="1"/>
      <c r="F28" s="6">
        <v>0.057</v>
      </c>
      <c r="M28">
        <f>I27+K30</f>
        <v>32.60000000000001</v>
      </c>
    </row>
    <row r="29" spans="3:6" x14ac:dyDescent="0.25">
      <c r="C29" s="2" t="s">
        <v>17</v>
      </c>
      <c r="D29" s="3">
        <v>2.468</v>
      </c>
      <c r="E29" s="1"/>
      <c r="F29" s="3">
        <v>0.912</v>
      </c>
    </row>
    <row r="30" spans="3:11" x14ac:dyDescent="0.25">
      <c r="C30" s="2"/>
      <c r="D30" s="5">
        <v>2.395</v>
      </c>
      <c r="E30" s="1">
        <f>H30+D30</f>
        <v>3313.7369999999996</v>
      </c>
      <c r="F30" s="5">
        <v>0.87</v>
      </c>
      <c r="H30" s="1">
        <f>E27-F30</f>
        <v>3311.3419999999996</v>
      </c>
      <c r="I30">
        <f>(D29-D31)*100</f>
        <v>14.69999999999998</v>
      </c>
      <c r="K30">
        <f>(F29-F31)*100</f>
        <v>8.400000000000007</v>
      </c>
    </row>
    <row r="31" spans="3:13" x14ac:dyDescent="0.25">
      <c r="C31" s="2"/>
      <c r="D31" s="6">
        <v>2.321</v>
      </c>
      <c r="E31" s="1"/>
      <c r="F31" s="6">
        <v>0.828</v>
      </c>
      <c r="M31">
        <f>I30+K33</f>
        <v>36.49999999999998</v>
      </c>
    </row>
    <row r="32" spans="3:6" x14ac:dyDescent="0.25">
      <c r="C32" s="2" t="s">
        <v>18</v>
      </c>
      <c r="D32" s="3">
        <v>2.409</v>
      </c>
      <c r="E32" s="1"/>
      <c r="F32" s="3">
        <v>0.304</v>
      </c>
    </row>
    <row r="33" spans="3:11" x14ac:dyDescent="0.25">
      <c r="C33" s="2"/>
      <c r="D33" s="5">
        <v>2.349</v>
      </c>
      <c r="E33" s="1">
        <f>H33+D33</f>
        <v>3315.8909999999996</v>
      </c>
      <c r="F33" s="5">
        <v>0.195</v>
      </c>
      <c r="H33" s="1">
        <f>E30-F33</f>
        <v>3313.5419999999995</v>
      </c>
      <c r="I33">
        <f>(D32-D34)*100</f>
        <v>12.1</v>
      </c>
      <c r="K33">
        <f>(F32-F34)*100</f>
        <v>21.8</v>
      </c>
    </row>
    <row r="34" spans="3:13" x14ac:dyDescent="0.25">
      <c r="C34" s="2"/>
      <c r="D34" s="6">
        <v>2.288</v>
      </c>
      <c r="E34" s="1"/>
      <c r="F34" s="6">
        <v>0.086</v>
      </c>
      <c r="M34">
        <f>I33+K36</f>
        <v>27.800000000000004</v>
      </c>
    </row>
    <row r="35" spans="3:6" x14ac:dyDescent="0.25">
      <c r="C35" s="2" t="s">
        <v>19</v>
      </c>
      <c r="E35" s="1"/>
      <c r="F35" s="3">
        <v>0.886</v>
      </c>
    </row>
    <row r="36" spans="3:11" x14ac:dyDescent="0.25">
      <c r="C36" s="2"/>
      <c r="E36" s="1"/>
      <c r="F36" s="5">
        <v>0.808</v>
      </c>
      <c r="H36" s="1">
        <f>E33-F36</f>
        <v>3315.0829999999996</v>
      </c>
      <c r="K36">
        <f>(F35-F37)*100</f>
        <v>15.700000000000003</v>
      </c>
    </row>
    <row r="37" spans="3:6" x14ac:dyDescent="0.25">
      <c r="C37" s="2"/>
      <c r="E37" s="1"/>
      <c r="F37" s="6">
        <v>0.729</v>
      </c>
    </row>
    <row r="42" spans="4:13" x14ac:dyDescent="0.25">
      <c r="D42">
        <f>D3+D6+D9+D12+D18+D21+D24+D27+D30+D33</f>
        <v>29.685</v>
      </c>
      <c r="F42">
        <f>F6+F9+F12+F18+F21+F24+F27+F30+F33+F36</f>
        <v>3.1020000000000003</v>
      </c>
      <c r="L42" t="s">
        <v>20</v>
      </c>
      <c r="M42">
        <f>SUM(M4:M34)</f>
        <v>384.30000000000007</v>
      </c>
    </row>
    <row r="46" spans="4:7" x14ac:dyDescent="0.25">
      <c r="D46" s="8">
        <f>H2-H36</f>
        <v>-26.58299999999963</v>
      </c>
      <c r="F46">
        <f>D42-F42</f>
        <v>26.583</v>
      </c>
      <c r="G46" s="8">
        <f>F46+D46</f>
        <v>3.694822225952521e-13</v>
      </c>
    </row>
  </sheetData>
  <mergeCells count="12"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7"/>
  <sheetViews>
    <sheetView workbookViewId="0" zoomScale="100" zoomScaleNormal="100">
      <selection activeCell="B14" sqref="B14"/>
    </sheetView>
  </sheetViews>
  <sheetFormatPr defaultRowHeight="15" outlineLevelRow="0" outlineLevelCol="0" x14ac:dyDescent="0.25"/>
  <cols>
    <col min="6" max="6" width="34.5703125" customWidth="1"/>
    <col min="9" max="9" width="16.5703125" customWidth="1"/>
    <col min="10" max="10" width="17.28515625" customWidth="1"/>
    <col min="11" max="11" width="14.85546875" customWidth="1"/>
    <col min="13" max="13" width="21.140625" customWidth="1"/>
    <col min="14" max="14" width="21.28515625" customWidth="1"/>
    <col min="15" max="15" width="14.42578125" customWidth="1"/>
  </cols>
  <sheetData>
    <row r="1" ht="15.75" customHeight="1" spans="3:14" x14ac:dyDescent="0.25">
      <c r="C1" s="9" t="s">
        <v>0</v>
      </c>
      <c r="D1" s="10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11"/>
      <c r="L1" s="11" t="s">
        <v>21</v>
      </c>
      <c r="M1" s="12" t="s">
        <v>22</v>
      </c>
      <c r="N1" s="1"/>
    </row>
    <row r="2" spans="3:13" x14ac:dyDescent="0.25">
      <c r="C2" s="7" t="s">
        <v>19</v>
      </c>
      <c r="D2" s="13">
        <v>0.937</v>
      </c>
      <c r="M2" s="12"/>
    </row>
    <row r="3" spans="3:16" x14ac:dyDescent="0.25">
      <c r="C3" s="7"/>
      <c r="D3" s="14">
        <v>0.865</v>
      </c>
      <c r="E3">
        <f>H3+D3</f>
        <v>3315.9479999999994</v>
      </c>
      <c r="H3">
        <v>3315.0829999999996</v>
      </c>
      <c r="I3">
        <f>(D2-D4)*100</f>
        <v>14.3</v>
      </c>
      <c r="L3">
        <f>H3+$O$4</f>
        <v>3315.083454545454</v>
      </c>
      <c r="M3" s="15">
        <f>L3</f>
        <v>3315.083454545454</v>
      </c>
      <c r="N3" s="16" t="s">
        <v>23</v>
      </c>
      <c r="O3" s="17">
        <f>NIVELACION!H2-CONTRANIVELACION!H36</f>
        <v>0.005000000000563887</v>
      </c>
      <c r="P3">
        <f>H3-NIVELACION!H36</f>
        <v>0</v>
      </c>
    </row>
    <row r="4" ht="15.75" customHeight="1" spans="3:15" x14ac:dyDescent="0.25">
      <c r="C4" s="7"/>
      <c r="D4" s="18">
        <v>0.794</v>
      </c>
      <c r="K4">
        <f>SUM(I3+J6)</f>
        <v>27.800000000000026</v>
      </c>
      <c r="M4" s="19"/>
      <c r="N4" s="17" t="s">
        <v>24</v>
      </c>
      <c r="O4" s="20">
        <f>O3/11</f>
        <v>0.000454545454596717</v>
      </c>
    </row>
    <row r="5" spans="3:15" x14ac:dyDescent="0.25">
      <c r="C5" s="2" t="s">
        <v>25</v>
      </c>
      <c r="D5" s="13">
        <v>0.878</v>
      </c>
      <c r="F5" s="13">
        <v>2.474</v>
      </c>
      <c r="M5" s="19"/>
      <c r="N5" s="17" t="s">
        <v>26</v>
      </c>
      <c r="O5" s="2" t="str">
        <f>IF(ABS(O3)&lt;=K47,"CUMPLE","NO CUMPLE")</f>
        <v>CUMPLE</v>
      </c>
    </row>
    <row r="6" spans="3:16" x14ac:dyDescent="0.25">
      <c r="C6" s="2"/>
      <c r="D6" s="14">
        <v>0.802</v>
      </c>
      <c r="E6">
        <f>H6+D6</f>
        <v>3314.3429999999994</v>
      </c>
      <c r="F6" s="14">
        <v>2.407</v>
      </c>
      <c r="H6">
        <f>E3-F6</f>
        <v>3313.5409999999993</v>
      </c>
      <c r="I6">
        <f>(D5-D7)*100</f>
        <v>15.200000000000003</v>
      </c>
      <c r="J6">
        <f>(F5-F7)*100</f>
        <v>13.500000000000023</v>
      </c>
      <c r="L6">
        <f>H6+$O$4</f>
        <v>3313.5414545454537</v>
      </c>
      <c r="M6" s="15">
        <f>L6</f>
        <v>3313.5414545454537</v>
      </c>
      <c r="N6" s="8"/>
      <c r="P6">
        <f>H6-NIVELACION!H33</f>
        <v>-0.0010000000002037268</v>
      </c>
    </row>
    <row r="7" ht="15.75" customHeight="1" spans="3:13" x14ac:dyDescent="0.25">
      <c r="C7" s="2"/>
      <c r="D7" s="18">
        <v>0.726</v>
      </c>
      <c r="F7" s="18">
        <v>2.339</v>
      </c>
      <c r="K7">
        <f>SUM(I6+J9)</f>
        <v>37.8</v>
      </c>
      <c r="M7" s="19"/>
    </row>
    <row r="8" spans="3:13" x14ac:dyDescent="0.25">
      <c r="C8" s="7" t="s">
        <v>17</v>
      </c>
      <c r="D8" s="13">
        <v>0.605</v>
      </c>
      <c r="F8" s="13">
        <v>3.116</v>
      </c>
      <c r="M8" s="19"/>
    </row>
    <row r="9" spans="3:16" x14ac:dyDescent="0.25">
      <c r="C9" s="7"/>
      <c r="D9" s="14">
        <v>0.531</v>
      </c>
      <c r="E9">
        <f>H9+D9</f>
        <v>3311.870999999999</v>
      </c>
      <c r="F9" s="14">
        <v>3.003</v>
      </c>
      <c r="H9">
        <f>E6-F9</f>
        <v>3311.3399999999992</v>
      </c>
      <c r="I9">
        <f>(D8-D10)*100</f>
        <v>14.799999999999997</v>
      </c>
      <c r="J9">
        <f>(F8-F10)*100</f>
        <v>22.599999999999998</v>
      </c>
      <c r="L9">
        <f>H9+$O$4</f>
        <v>3311.3404545454537</v>
      </c>
      <c r="M9" s="15">
        <f>L9</f>
        <v>3311.3404545454537</v>
      </c>
      <c r="N9" s="8"/>
      <c r="P9">
        <f>H9-NIVELACION!H30</f>
        <v>-0.0020000000004074536</v>
      </c>
    </row>
    <row r="10" ht="15.75" customHeight="1" spans="3:13" x14ac:dyDescent="0.25">
      <c r="C10" s="7"/>
      <c r="D10" s="18">
        <v>0.457</v>
      </c>
      <c r="F10" s="18">
        <v>2.89</v>
      </c>
      <c r="K10">
        <f>SUM(I9+J12)</f>
        <v>32.900000000000006</v>
      </c>
      <c r="M10" s="19"/>
    </row>
    <row r="11" spans="3:13" x14ac:dyDescent="0.25">
      <c r="C11" s="7" t="s">
        <v>16</v>
      </c>
      <c r="D11" s="13">
        <v>0.177</v>
      </c>
      <c r="F11" s="13">
        <v>2.912</v>
      </c>
      <c r="M11" s="19"/>
    </row>
    <row r="12" spans="3:16" x14ac:dyDescent="0.25">
      <c r="C12" s="7"/>
      <c r="D12" s="14">
        <v>0.092</v>
      </c>
      <c r="E12">
        <f>H12+D12</f>
        <v>3309.1419999999994</v>
      </c>
      <c r="F12" s="14">
        <v>2.821</v>
      </c>
      <c r="H12">
        <f>E9-F12</f>
        <v>3309.0499999999993</v>
      </c>
      <c r="I12">
        <f>(D11-D13)*100</f>
        <v>17</v>
      </c>
      <c r="J12">
        <f>(F11-F13)*100</f>
        <v>18.100000000000005</v>
      </c>
      <c r="L12">
        <f>H12+$O$4</f>
        <v>3309.0504545454537</v>
      </c>
      <c r="M12" s="15">
        <f>L12</f>
        <v>3309.0504545454537</v>
      </c>
      <c r="N12" s="8"/>
      <c r="P12">
        <f>H12-NIVELACION!H27</f>
        <v>-0.0020000000004074536</v>
      </c>
    </row>
    <row r="13" ht="15.75" customHeight="1" spans="3:13" x14ac:dyDescent="0.25">
      <c r="C13" s="7"/>
      <c r="D13" s="18">
        <v>0.007</v>
      </c>
      <c r="F13" s="18">
        <v>2.731</v>
      </c>
      <c r="K13">
        <f>SUM(I12+J15)</f>
        <v>37.900000000000006</v>
      </c>
      <c r="M13" s="19"/>
    </row>
    <row r="14" spans="2:13" x14ac:dyDescent="0.25">
      <c r="B14" s="13">
        <v>0.17</v>
      </c>
      <c r="C14" s="21" t="s">
        <v>15</v>
      </c>
      <c r="D14" s="13">
        <v>0.17</v>
      </c>
      <c r="F14" s="13">
        <v>3.614</v>
      </c>
      <c r="M14" s="19"/>
    </row>
    <row r="15" spans="2:16" x14ac:dyDescent="0.25">
      <c r="B15" s="14">
        <v>0.083</v>
      </c>
      <c r="C15" s="21"/>
      <c r="D15" s="14">
        <v>0.083</v>
      </c>
      <c r="E15">
        <f>H15+D15</f>
        <v>3305.7149999999992</v>
      </c>
      <c r="F15" s="14">
        <v>3.51</v>
      </c>
      <c r="H15">
        <f>E12-F15</f>
        <v>3305.631999999999</v>
      </c>
      <c r="I15">
        <f>(B14-B16)*100</f>
        <v>25.7</v>
      </c>
      <c r="J15">
        <f>(F14-F16)*100</f>
        <v>20.900000000000006</v>
      </c>
      <c r="L15">
        <f>H15+$O$4</f>
        <v>3305.6324545454536</v>
      </c>
      <c r="M15" s="15">
        <f>L15</f>
        <v>3305.6324545454536</v>
      </c>
      <c r="N15" s="8"/>
      <c r="P15">
        <f>H15-NIVELACION!H24</f>
        <v>-0.0030000000006111804</v>
      </c>
    </row>
    <row r="16" ht="15.75" customHeight="1" spans="2:13" x14ac:dyDescent="0.25">
      <c r="B16" s="18">
        <f>B15-B14</f>
        <v>-0.08700000000000001</v>
      </c>
      <c r="C16" s="21"/>
      <c r="D16" s="18" t="s">
        <v>27</v>
      </c>
      <c r="F16" s="18">
        <v>3.405</v>
      </c>
      <c r="K16">
        <f>SUM(I15+J18)</f>
        <v>41.89999999999999</v>
      </c>
      <c r="M16" s="19"/>
    </row>
    <row r="17" spans="3:13" x14ac:dyDescent="0.25">
      <c r="C17" s="7" t="s">
        <v>28</v>
      </c>
      <c r="D17" s="13">
        <v>0.35</v>
      </c>
      <c r="F17" s="13">
        <v>3.034</v>
      </c>
      <c r="M17" s="19"/>
    </row>
    <row r="18" spans="3:16" x14ac:dyDescent="0.25">
      <c r="C18" s="7"/>
      <c r="D18" s="14">
        <v>0.266</v>
      </c>
      <c r="E18">
        <f>H18+D18</f>
        <v>3303.0279999999993</v>
      </c>
      <c r="F18" s="14">
        <v>2.953</v>
      </c>
      <c r="H18">
        <f>E15-F18</f>
        <v>3302.7619999999993</v>
      </c>
      <c r="I18">
        <f>(D17-D19)*100</f>
        <v>16.799999999999997</v>
      </c>
      <c r="J18">
        <f>(F17-F19)*100</f>
        <v>16.199999999999992</v>
      </c>
      <c r="L18">
        <f>H18+$O$4</f>
        <v>3302.7624545454537</v>
      </c>
      <c r="M18" s="15">
        <f>L18</f>
        <v>3302.7624545454537</v>
      </c>
      <c r="N18" s="8"/>
      <c r="P18">
        <f>H18-NIVELACION!H21</f>
        <v>-0.005000000000563887</v>
      </c>
    </row>
    <row r="19" ht="15.75" customHeight="1" spans="3:13" x14ac:dyDescent="0.25">
      <c r="C19" s="7"/>
      <c r="D19" s="18">
        <v>0.182</v>
      </c>
      <c r="F19" s="18">
        <v>2.872</v>
      </c>
      <c r="K19">
        <f>SUM(I18+J21)</f>
        <v>36.99999999999999</v>
      </c>
      <c r="M19" s="19"/>
    </row>
    <row r="20" spans="3:13" x14ac:dyDescent="0.25">
      <c r="C20" s="7" t="s">
        <v>13</v>
      </c>
      <c r="D20" s="13">
        <v>0.235</v>
      </c>
      <c r="F20" s="13">
        <v>3.557</v>
      </c>
      <c r="M20" s="19"/>
    </row>
    <row r="21" spans="3:16" x14ac:dyDescent="0.25">
      <c r="C21" s="7"/>
      <c r="D21" s="14">
        <v>0.157</v>
      </c>
      <c r="E21">
        <f>H21+D21</f>
        <v>3299.7289999999994</v>
      </c>
      <c r="F21" s="14">
        <v>3.456</v>
      </c>
      <c r="H21">
        <f>E18-F21</f>
        <v>3299.571999999999</v>
      </c>
      <c r="I21">
        <f>(D20-D22)*100</f>
        <v>15.699999999999998</v>
      </c>
      <c r="J21">
        <f>(F20-F22)*100</f>
        <v>20.199999999999996</v>
      </c>
      <c r="L21">
        <f>H21+$O$4</f>
        <v>3299.5724545454536</v>
      </c>
      <c r="M21" s="15">
        <f>L21</f>
        <v>3299.5724545454536</v>
      </c>
      <c r="N21" s="8"/>
      <c r="P21">
        <f>H21-NIVELACION!H18</f>
        <v>-0.005000000000563887</v>
      </c>
    </row>
    <row r="22" ht="15.75" customHeight="1" spans="3:13" x14ac:dyDescent="0.25">
      <c r="C22" s="7"/>
      <c r="D22" s="18">
        <v>0.078</v>
      </c>
      <c r="F22" s="18">
        <v>3.355</v>
      </c>
      <c r="K22">
        <f>SUM(I21+J24)</f>
        <v>15.699999999999998</v>
      </c>
      <c r="M22" s="19"/>
    </row>
    <row r="23" spans="3:13" x14ac:dyDescent="0.25">
      <c r="C23" s="2" t="s">
        <v>29</v>
      </c>
      <c r="G23" s="13">
        <v>0.188</v>
      </c>
      <c r="M23" s="19"/>
    </row>
    <row r="24" spans="3:16" x14ac:dyDescent="0.25">
      <c r="C24" s="2"/>
      <c r="G24" s="14">
        <v>0.107</v>
      </c>
      <c r="H24">
        <f>E21-G24</f>
        <v>3299.6219999999994</v>
      </c>
      <c r="I24">
        <f>(D23-D25)*100</f>
        <v>0</v>
      </c>
      <c r="J24">
        <f>(F23-F25)*100</f>
        <v>0</v>
      </c>
      <c r="L24">
        <f>H24+$O$4</f>
        <v>3299.622454545454</v>
      </c>
      <c r="M24" s="15">
        <f>L24</f>
        <v>3299.622454545454</v>
      </c>
      <c r="N24" s="8"/>
      <c r="P24">
        <f>H24-NIVELACION!H15</f>
        <v>-0.005000000000563887</v>
      </c>
    </row>
    <row r="25" ht="15.75" customHeight="1" spans="3:13" x14ac:dyDescent="0.25">
      <c r="C25" s="2"/>
      <c r="G25" s="18">
        <v>0.026</v>
      </c>
      <c r="M25" s="19"/>
    </row>
    <row r="26" spans="2:13" x14ac:dyDescent="0.25">
      <c r="B26" s="13">
        <v>0.085</v>
      </c>
      <c r="C26" s="7" t="s">
        <v>30</v>
      </c>
      <c r="D26" s="13">
        <v>0.085</v>
      </c>
      <c r="F26" s="13">
        <v>3.988</v>
      </c>
      <c r="M26" s="19"/>
    </row>
    <row r="27" spans="2:16" x14ac:dyDescent="0.25">
      <c r="B27" s="14">
        <v>0.022</v>
      </c>
      <c r="C27" s="7"/>
      <c r="D27" s="14">
        <v>0.022</v>
      </c>
      <c r="E27">
        <f>H27+D27</f>
        <v>3295.8859999999995</v>
      </c>
      <c r="F27" s="14">
        <v>3.865</v>
      </c>
      <c r="H27">
        <f>E21-F27</f>
        <v>3295.8639999999996</v>
      </c>
      <c r="I27">
        <f>(B26-B28)*100</f>
        <v>14.800000000000002</v>
      </c>
      <c r="J27">
        <f>(F26-F28)*100</f>
        <v>24.69999999999999</v>
      </c>
      <c r="L27">
        <f>H27+$O$4</f>
        <v>3295.864454545454</v>
      </c>
      <c r="M27" s="15">
        <f>L27</f>
        <v>3295.864454545454</v>
      </c>
      <c r="N27" s="8"/>
      <c r="P27">
        <f>H27-NIVELACION!H12</f>
        <v>-0.005000000000109139</v>
      </c>
    </row>
    <row r="28" ht="15.75" customHeight="1" spans="2:13" x14ac:dyDescent="0.25">
      <c r="B28">
        <f>B27-B26</f>
        <v>-0.063</v>
      </c>
      <c r="C28" s="7"/>
      <c r="D28" s="18" t="s">
        <v>27</v>
      </c>
      <c r="F28" s="18">
        <v>3.741</v>
      </c>
      <c r="K28">
        <f>SUM(I27+J30)</f>
        <v>35.89999999999999</v>
      </c>
      <c r="M28" s="19"/>
    </row>
    <row r="29" spans="3:13" x14ac:dyDescent="0.25">
      <c r="C29" s="7" t="s">
        <v>10</v>
      </c>
      <c r="D29" s="13">
        <v>0.224</v>
      </c>
      <c r="F29" s="13">
        <v>3.505</v>
      </c>
      <c r="M29" s="19"/>
    </row>
    <row r="30" spans="3:16" x14ac:dyDescent="0.25">
      <c r="C30" s="7"/>
      <c r="D30" s="14">
        <v>0.134</v>
      </c>
      <c r="E30">
        <f>H30+D30</f>
        <v>3292.6199999999994</v>
      </c>
      <c r="F30" s="14">
        <v>3.4</v>
      </c>
      <c r="H30">
        <f>E27-F30</f>
        <v>3292.4859999999994</v>
      </c>
      <c r="I30">
        <f>(D29-D31)*100</f>
        <v>18</v>
      </c>
      <c r="J30">
        <f>(F29-F31)*100</f>
        <v>21.099999999999987</v>
      </c>
      <c r="L30">
        <f>H30+$O$4</f>
        <v>3292.486454545454</v>
      </c>
      <c r="M30" s="15">
        <f>L30</f>
        <v>3292.486454545454</v>
      </c>
      <c r="N30" s="8"/>
      <c r="P30">
        <f>H30-NIVELACION!H9</f>
        <v>-0.006000000000312866</v>
      </c>
    </row>
    <row r="31" ht="15.75" customHeight="1" spans="3:13" x14ac:dyDescent="0.25">
      <c r="C31" s="7"/>
      <c r="D31" s="18">
        <v>0.044</v>
      </c>
      <c r="F31" s="18">
        <v>3.294</v>
      </c>
      <c r="K31">
        <f>SUM(I30+J33)</f>
        <v>45.49999999999999</v>
      </c>
      <c r="M31" s="19"/>
    </row>
    <row r="32" spans="3:13" x14ac:dyDescent="0.25">
      <c r="C32" s="7" t="s">
        <v>9</v>
      </c>
      <c r="D32" s="13">
        <v>0.554</v>
      </c>
      <c r="F32" s="13">
        <v>3.323</v>
      </c>
      <c r="M32" s="19"/>
    </row>
    <row r="33" spans="3:16" x14ac:dyDescent="0.25">
      <c r="C33" s="7"/>
      <c r="D33" s="14">
        <v>0.452</v>
      </c>
      <c r="E33">
        <f>H33+D33</f>
        <v>3289.8859999999995</v>
      </c>
      <c r="F33" s="14">
        <v>3.186</v>
      </c>
      <c r="H33">
        <f>E30-F33</f>
        <v>3289.4339999999993</v>
      </c>
      <c r="I33">
        <f>(D32-D34)*100</f>
        <v>20.400000000000006</v>
      </c>
      <c r="J33">
        <f>(F32-F34)*100</f>
        <v>27.499999999999993</v>
      </c>
      <c r="L33">
        <f>H33+$O$4</f>
        <v>3289.4344545454537</v>
      </c>
      <c r="M33" s="15">
        <f>L33</f>
        <v>3289.4344545454537</v>
      </c>
      <c r="N33" s="8"/>
      <c r="P33">
        <f>H33-NIVELACION!H6</f>
        <v>-0.007000000000516593</v>
      </c>
    </row>
    <row r="34" ht="15.75" customHeight="1" spans="3:13" x14ac:dyDescent="0.25">
      <c r="C34" s="7"/>
      <c r="D34" s="18">
        <v>0.35</v>
      </c>
      <c r="F34" s="18">
        <v>3.048</v>
      </c>
      <c r="K34">
        <f>SUM(I33+J36)</f>
        <v>60.50000000000001</v>
      </c>
      <c r="M34" s="19"/>
    </row>
    <row r="35" spans="3:13" x14ac:dyDescent="0.25">
      <c r="C35" s="2" t="s">
        <v>8</v>
      </c>
      <c r="F35" s="13">
        <v>1.591</v>
      </c>
      <c r="M35" s="19"/>
    </row>
    <row r="36" spans="3:16" x14ac:dyDescent="0.25">
      <c r="C36" s="2"/>
      <c r="F36" s="14">
        <v>1.391</v>
      </c>
      <c r="H36">
        <f>E33-F36</f>
        <v>3288.4949999999994</v>
      </c>
      <c r="J36">
        <f>(F35-F37)*100</f>
        <v>40.1</v>
      </c>
      <c r="L36">
        <f>H36+$O$4</f>
        <v>3288.495454545454</v>
      </c>
      <c r="M36" s="15">
        <f>L36</f>
        <v>3288.495454545454</v>
      </c>
      <c r="N36" s="8"/>
      <c r="P36">
        <f>H36-NIVELACION!H2</f>
        <v>-0.005000000000563887</v>
      </c>
    </row>
    <row r="37" ht="15.75" customHeight="1" spans="3:6" x14ac:dyDescent="0.25">
      <c r="C37" s="2"/>
      <c r="F37" s="18">
        <v>1.19</v>
      </c>
    </row>
    <row r="39" spans="13:14" x14ac:dyDescent="0.25">
      <c r="M39" s="8"/>
      <c r="N39" s="8"/>
    </row>
    <row r="40" spans="4:6" x14ac:dyDescent="0.25">
      <c r="D40">
        <f>(D3+D6+D9+D12+D15+D18+D21+D27+D30+D33)</f>
        <v>3.404</v>
      </c>
      <c r="F40">
        <f>F6+F9+F12+F15+F18+F21+F27+F30+F33+F36</f>
        <v>29.991999999999997</v>
      </c>
    </row>
    <row r="42" spans="10:11" x14ac:dyDescent="0.25">
      <c r="J42" s="17" t="s">
        <v>31</v>
      </c>
      <c r="K42" s="17">
        <f>SUM(K4:K36)</f>
        <v>372.9</v>
      </c>
    </row>
    <row r="44" spans="4:6" x14ac:dyDescent="0.25">
      <c r="D44">
        <f>H36-H3</f>
        <v>-26.588000000000193</v>
      </c>
      <c r="E44">
        <f>F40-D40</f>
        <v>26.587999999999997</v>
      </c>
      <c r="F44" s="8">
        <f>E44+D44</f>
        <v>-1.9539925233402755e-13</v>
      </c>
    </row>
    <row r="47" ht="29.25" customHeight="1" spans="10:11" x14ac:dyDescent="0.25">
      <c r="J47" s="22" t="s">
        <v>32</v>
      </c>
      <c r="K47" s="23">
        <f>(10)*SQRT((K42/1000))</f>
        <v>6.1065538563088095</v>
      </c>
    </row>
  </sheetData>
  <mergeCells count="13">
    <mergeCell ref="M1:M2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</mergeCells>
  <conditionalFormatting sqref="O5">
    <cfRule type="expression" dxfId="0" priority="2">
      <formula>$O$5="CUMPLE"</formula>
    </cfRule>
    <cfRule type="expression" dxfId="1" priority="1">
      <formula>$O$5="NO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FormatPr defaultRowHeight="15" outlineLevelRow="0" outlineLevelCol="0" x14ac:dyDescent="55"/>
  <cols>
    <col min="1" max="17" width="17" customWidth="1"/>
  </cols>
  <sheetData>
    <row r="1" spans="1:1" x14ac:dyDescent="0.25">
      <c r="A1" s="24" t="s">
        <v>33</v>
      </c>
    </row>
    <row r="2" spans="1:1" x14ac:dyDescent="0.25">
      <c r="A2" s="25" t="s">
        <v>34</v>
      </c>
    </row>
    <row r="4" spans="1:17" x14ac:dyDescent="0.25">
      <c r="A4" s="26" t="s">
        <v>0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  <c r="H4" s="26" t="s">
        <v>41</v>
      </c>
      <c r="I4" s="26" t="s">
        <v>4</v>
      </c>
      <c r="J4" s="26" t="s">
        <v>42</v>
      </c>
      <c r="K4" s="26" t="s">
        <v>5</v>
      </c>
      <c r="L4" s="26" t="s">
        <v>43</v>
      </c>
      <c r="M4" s="26" t="s">
        <v>44</v>
      </c>
      <c r="N4" s="26" t="s">
        <v>45</v>
      </c>
      <c r="O4" s="26" t="s">
        <v>46</v>
      </c>
      <c r="P4" s="26" t="s">
        <v>47</v>
      </c>
      <c r="Q4" s="26" t="s">
        <v>48</v>
      </c>
    </row>
    <row r="5" spans="1:15" x14ac:dyDescent="0.25">
      <c r="A5" t="s">
        <v>8</v>
      </c>
      <c r="B5" t="s">
        <v>49</v>
      </c>
      <c r="C5">
        <v>1.367</v>
      </c>
      <c r="D5">
        <v>1.209</v>
      </c>
      <c r="E5">
        <v>1.052</v>
      </c>
      <c r="J5">
        <f>K5+D5</f>
      </c>
      <c r="K5">
        <v>3288.5</v>
      </c>
      <c r="L5">
        <f>(C5-E5)*100</f>
      </c>
      <c r="N5">
        <f>L5</f>
      </c>
      <c r="O5">
        <f>N5</f>
      </c>
    </row>
    <row r="6" spans="1:15" x14ac:dyDescent="0.25">
      <c r="A6" t="s">
        <v>9</v>
      </c>
      <c r="B6" t="s">
        <v>50</v>
      </c>
      <c r="C6">
        <v>3.416</v>
      </c>
      <c r="D6">
        <v>3.275</v>
      </c>
      <c r="E6">
        <v>3.135</v>
      </c>
      <c r="F6">
        <v>0.41</v>
      </c>
      <c r="G6">
        <v>0.268</v>
      </c>
      <c r="H6">
        <v>0.125</v>
      </c>
      <c r="J6">
        <f>K6+D6</f>
      </c>
      <c r="K6">
        <f>J5-G6</f>
      </c>
      <c r="L6">
        <f>(C6-E6)*100</f>
      </c>
      <c r="M6">
        <f>(F6-H6)*100</f>
      </c>
      <c r="N6">
        <f>M6+L6</f>
      </c>
      <c r="O6">
        <f>O5+N6</f>
      </c>
    </row>
    <row r="7" spans="1:15" x14ac:dyDescent="0.25">
      <c r="A7" t="s">
        <v>10</v>
      </c>
      <c r="B7" t="s">
        <v>50</v>
      </c>
      <c r="C7">
        <v>3.578</v>
      </c>
      <c r="D7">
        <v>3.469</v>
      </c>
      <c r="E7">
        <v>3.359</v>
      </c>
      <c r="F7">
        <v>0.31</v>
      </c>
      <c r="G7">
        <v>0.224</v>
      </c>
      <c r="H7">
        <v>0.137</v>
      </c>
      <c r="J7">
        <f>K7+D7</f>
      </c>
      <c r="K7">
        <f>J6-G7</f>
      </c>
      <c r="L7">
        <f>(C7-E7)*100</f>
      </c>
      <c r="M7">
        <f>(F7-H7)*100</f>
      </c>
      <c r="N7">
        <f>M7+L7</f>
      </c>
      <c r="O7">
        <f>O6+N7</f>
      </c>
    </row>
    <row r="8" spans="1:15" x14ac:dyDescent="0.25">
      <c r="A8" t="s">
        <v>30</v>
      </c>
      <c r="B8" t="s">
        <v>50</v>
      </c>
      <c r="C8">
        <v>4.08</v>
      </c>
      <c r="D8">
        <v>3.952</v>
      </c>
      <c r="E8">
        <v>3.825</v>
      </c>
      <c r="F8">
        <v>0.15</v>
      </c>
      <c r="G8">
        <v>0.092</v>
      </c>
      <c r="H8">
        <v>0.033</v>
      </c>
      <c r="J8">
        <f>K8+D8</f>
      </c>
      <c r="K8">
        <f>J7-G8</f>
      </c>
      <c r="L8">
        <f>(C8-E8)*100</f>
      </c>
      <c r="M8">
        <f>(F8-H8)*100</f>
      </c>
      <c r="N8">
        <f>M8+L8</f>
      </c>
      <c r="O8">
        <f>O7+N8</f>
      </c>
    </row>
    <row r="9" spans="1:15" x14ac:dyDescent="0.25">
      <c r="A9" t="s">
        <v>12</v>
      </c>
      <c r="B9" t="s">
        <v>51</v>
      </c>
      <c r="I9">
        <v>0.194</v>
      </c>
      <c r="K9">
        <f>J8-I9</f>
      </c>
      <c r="N9">
        <v>0</v>
      </c>
      <c r="O9">
        <f>O8+N9</f>
      </c>
    </row>
    <row r="10" spans="1:15" x14ac:dyDescent="0.25">
      <c r="A10" t="s">
        <v>13</v>
      </c>
      <c r="B10" t="s">
        <v>50</v>
      </c>
      <c r="C10">
        <v>3.411</v>
      </c>
      <c r="D10">
        <v>3.314</v>
      </c>
      <c r="E10">
        <v>3.215</v>
      </c>
      <c r="F10">
        <v>0.319</v>
      </c>
      <c r="G10">
        <v>0.244</v>
      </c>
      <c r="H10">
        <v>0.168</v>
      </c>
      <c r="J10">
        <f>K10+D10</f>
      </c>
      <c r="K10">
        <f>J8-G10</f>
      </c>
      <c r="L10">
        <f>(C10-E10)*100</f>
      </c>
      <c r="M10">
        <f>(F10-H10)*100</f>
      </c>
      <c r="N10">
        <f>M10+L10</f>
      </c>
      <c r="O10">
        <f>O9+N10</f>
      </c>
    </row>
    <row r="11" spans="1:15" x14ac:dyDescent="0.25">
      <c r="A11" t="s">
        <v>28</v>
      </c>
      <c r="B11" t="s">
        <v>50</v>
      </c>
      <c r="C11">
        <v>3.104</v>
      </c>
      <c r="D11">
        <v>3.013</v>
      </c>
      <c r="E11">
        <v>2.923</v>
      </c>
      <c r="F11">
        <v>0.207</v>
      </c>
      <c r="G11">
        <v>0.124</v>
      </c>
      <c r="H11">
        <v>0.041</v>
      </c>
      <c r="J11">
        <f>K11+D11</f>
      </c>
      <c r="K11">
        <f>J10-G11</f>
      </c>
      <c r="L11">
        <f>(C11-E11)*100</f>
      </c>
      <c r="M11">
        <f>(F11-H11)*100</f>
      </c>
      <c r="N11">
        <f>M11+L11</f>
      </c>
      <c r="O11">
        <f>O10+N11</f>
      </c>
    </row>
    <row r="12" spans="1:15" x14ac:dyDescent="0.25">
      <c r="A12" t="s">
        <v>15</v>
      </c>
      <c r="B12" t="s">
        <v>50</v>
      </c>
      <c r="C12">
        <v>3.665</v>
      </c>
      <c r="D12">
        <v>3.549</v>
      </c>
      <c r="E12">
        <v>3.434</v>
      </c>
      <c r="F12">
        <v>0.222</v>
      </c>
      <c r="G12">
        <v>0.145</v>
      </c>
      <c r="H12">
        <v>0.067</v>
      </c>
      <c r="J12">
        <f>K12+D12</f>
      </c>
      <c r="K12">
        <f>J11-G12</f>
      </c>
      <c r="L12">
        <f>(C12-E12)*100</f>
      </c>
      <c r="M12">
        <f>(F12-H12)*100</f>
      </c>
      <c r="N12">
        <f>M12+L12</f>
      </c>
      <c r="O12">
        <f>O11+N12</f>
      </c>
    </row>
    <row r="13" spans="1:15" x14ac:dyDescent="0.25">
      <c r="A13" t="s">
        <v>16</v>
      </c>
      <c r="B13" t="s">
        <v>50</v>
      </c>
      <c r="C13">
        <v>3.281</v>
      </c>
      <c r="D13">
        <v>3.16</v>
      </c>
      <c r="E13">
        <v>3.039</v>
      </c>
      <c r="F13">
        <v>0.206</v>
      </c>
      <c r="G13">
        <v>0.132</v>
      </c>
      <c r="H13">
        <v>0.057</v>
      </c>
      <c r="J13">
        <f>K13+D13</f>
      </c>
      <c r="K13">
        <f>J12-G13</f>
      </c>
      <c r="L13">
        <f>(C13-E13)*100</f>
      </c>
      <c r="M13">
        <f>(F13-H13)*100</f>
      </c>
      <c r="N13">
        <f>M13+L13</f>
      </c>
      <c r="O13">
        <f>O12+N13</f>
      </c>
    </row>
    <row r="14" spans="1:15" x14ac:dyDescent="0.25">
      <c r="A14" t="s">
        <v>17</v>
      </c>
      <c r="B14" t="s">
        <v>50</v>
      </c>
      <c r="C14">
        <v>2.468</v>
      </c>
      <c r="D14">
        <v>2.395</v>
      </c>
      <c r="E14">
        <v>2.321</v>
      </c>
      <c r="F14">
        <v>0.912</v>
      </c>
      <c r="G14">
        <v>0.87</v>
      </c>
      <c r="H14">
        <v>0.828</v>
      </c>
      <c r="J14">
        <f>K14+D14</f>
      </c>
      <c r="K14">
        <f>J13-G14</f>
      </c>
      <c r="L14">
        <f>(C14-E14)*100</f>
      </c>
      <c r="M14">
        <f>(F14-H14)*100</f>
      </c>
      <c r="N14">
        <f>M14+L14</f>
      </c>
      <c r="O14">
        <f>O13+N14</f>
      </c>
    </row>
    <row r="15" spans="1:15" x14ac:dyDescent="0.25">
      <c r="A15" t="s">
        <v>18</v>
      </c>
      <c r="B15" t="s">
        <v>50</v>
      </c>
      <c r="C15">
        <v>2.409</v>
      </c>
      <c r="D15">
        <v>2.349</v>
      </c>
      <c r="E15">
        <v>2.288</v>
      </c>
      <c r="F15">
        <v>0.304</v>
      </c>
      <c r="G15">
        <v>0.195</v>
      </c>
      <c r="H15">
        <v>0.086</v>
      </c>
      <c r="J15">
        <f>K15+D15</f>
      </c>
      <c r="K15">
        <f>J14-G15</f>
      </c>
      <c r="L15">
        <f>(C15-E15)*100</f>
      </c>
      <c r="M15">
        <f>(F15-H15)*100</f>
      </c>
      <c r="N15">
        <f>M15+L15</f>
      </c>
      <c r="O15">
        <f>O14+N15</f>
      </c>
    </row>
    <row r="16" spans="1:15" x14ac:dyDescent="0.25">
      <c r="A16" t="s">
        <v>19</v>
      </c>
      <c r="B16" t="s">
        <v>49</v>
      </c>
      <c r="F16">
        <v>0.886</v>
      </c>
      <c r="G16">
        <v>0.808</v>
      </c>
      <c r="H16">
        <v>0.729</v>
      </c>
      <c r="K16">
        <f>J15-G16</f>
      </c>
      <c r="M16">
        <f>(F16-H16)*100</f>
      </c>
      <c r="N16">
        <f>M16</f>
      </c>
      <c r="O16">
        <f>O15+N16</f>
      </c>
    </row>
    <row r="18" spans="1:2" x14ac:dyDescent="0.25">
      <c r="A18" s="26" t="s">
        <v>52</v>
      </c>
      <c r="B18">
        <f>SUM(D5:D16)</f>
      </c>
    </row>
    <row r="19" spans="1:2" x14ac:dyDescent="0.25">
      <c r="A19" s="26" t="s">
        <v>53</v>
      </c>
      <c r="B19">
        <f>SUM(G5:G16)</f>
      </c>
    </row>
    <row r="20" spans="1:2" x14ac:dyDescent="0.25">
      <c r="A20" s="26" t="s">
        <v>54</v>
      </c>
      <c r="B20">
        <f>B18-B19</f>
      </c>
    </row>
    <row r="21" spans="1:2" x14ac:dyDescent="0.25">
      <c r="A21" t="s">
        <v>55</v>
      </c>
      <c r="B21">
        <f>K16-K5</f>
      </c>
    </row>
    <row r="22" spans="1:2" x14ac:dyDescent="0.25">
      <c r="A22" t="s">
        <v>56</v>
      </c>
      <c r="B22">
        <f>B20-B21</f>
      </c>
    </row>
    <row r="24" spans="1:3" x14ac:dyDescent="0.25">
      <c r="A24" s="26" t="s">
        <v>57</v>
      </c>
      <c r="B24">
        <f>SUM(N5:N16)</f>
      </c>
      <c r="C24" s="2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FormatPr defaultRowHeight="15" outlineLevelRow="0" outlineLevelCol="0" x14ac:dyDescent="55"/>
  <cols>
    <col min="1" max="17" width="17" customWidth="1"/>
  </cols>
  <sheetData>
    <row r="1" spans="1:1" x14ac:dyDescent="0.25">
      <c r="A1" s="24" t="s">
        <v>59</v>
      </c>
    </row>
    <row r="2" spans="1:1" x14ac:dyDescent="0.25">
      <c r="A2" s="25" t="s">
        <v>60</v>
      </c>
    </row>
    <row r="4" spans="1:17" x14ac:dyDescent="0.25">
      <c r="A4" s="26" t="s">
        <v>0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  <c r="H4" s="26" t="s">
        <v>41</v>
      </c>
      <c r="I4" s="26" t="s">
        <v>4</v>
      </c>
      <c r="J4" s="26" t="s">
        <v>42</v>
      </c>
      <c r="K4" s="26" t="s">
        <v>5</v>
      </c>
      <c r="L4" s="26" t="s">
        <v>43</v>
      </c>
      <c r="M4" s="26" t="s">
        <v>44</v>
      </c>
      <c r="N4" s="26" t="s">
        <v>45</v>
      </c>
      <c r="O4" s="26" t="s">
        <v>46</v>
      </c>
      <c r="P4" s="26" t="s">
        <v>47</v>
      </c>
      <c r="Q4" s="26" t="s">
        <v>48</v>
      </c>
    </row>
    <row r="5" spans="1:15" x14ac:dyDescent="0.25">
      <c r="A5" t="s">
        <v>19</v>
      </c>
      <c r="B5" t="s">
        <v>49</v>
      </c>
      <c r="C5">
        <v>0.937</v>
      </c>
      <c r="D5">
        <v>0.865</v>
      </c>
      <c r="E5">
        <v>0.794</v>
      </c>
      <c r="J5">
        <f>K5+D5</f>
      </c>
      <c r="K5">
        <v>3315.083</v>
      </c>
      <c r="L5">
        <f>(C5-E5)*100</f>
      </c>
      <c r="N5">
        <f>L5</f>
      </c>
      <c r="O5">
        <f>N5</f>
      </c>
    </row>
    <row r="6" spans="1:15" x14ac:dyDescent="0.25">
      <c r="A6" t="s">
        <v>18</v>
      </c>
      <c r="B6" t="s">
        <v>50</v>
      </c>
      <c r="C6">
        <v>0.878</v>
      </c>
      <c r="D6">
        <v>0.802</v>
      </c>
      <c r="E6">
        <v>0.726</v>
      </c>
      <c r="F6">
        <v>2.474</v>
      </c>
      <c r="G6">
        <v>2.407</v>
      </c>
      <c r="H6">
        <v>2.339</v>
      </c>
      <c r="J6">
        <f>K6+D6</f>
      </c>
      <c r="K6">
        <f>J5-G6</f>
      </c>
      <c r="L6">
        <f>(C6-E6)*100</f>
      </c>
      <c r="M6">
        <f>(F6-H6)*100</f>
      </c>
      <c r="N6">
        <f>M6+L6</f>
      </c>
      <c r="O6">
        <f>O5+N6</f>
      </c>
    </row>
    <row r="7" spans="1:15" x14ac:dyDescent="0.25">
      <c r="A7" t="s">
        <v>17</v>
      </c>
      <c r="B7" t="s">
        <v>50</v>
      </c>
      <c r="C7">
        <v>0.605</v>
      </c>
      <c r="D7">
        <v>0.531</v>
      </c>
      <c r="E7">
        <v>0.457</v>
      </c>
      <c r="F7">
        <v>3.116</v>
      </c>
      <c r="G7">
        <v>3.003</v>
      </c>
      <c r="H7">
        <v>2.89</v>
      </c>
      <c r="J7">
        <f>K7+D7</f>
      </c>
      <c r="K7">
        <f>J6-G7</f>
      </c>
      <c r="L7">
        <f>(C7-E7)*100</f>
      </c>
      <c r="M7">
        <f>(F7-H7)*100</f>
      </c>
      <c r="N7">
        <f>M7+L7</f>
      </c>
      <c r="O7">
        <f>O6+N7</f>
      </c>
    </row>
    <row r="8" spans="1:15" x14ac:dyDescent="0.25">
      <c r="A8" t="s">
        <v>16</v>
      </c>
      <c r="B8" t="s">
        <v>50</v>
      </c>
      <c r="C8">
        <v>0.177</v>
      </c>
      <c r="D8">
        <v>0.092</v>
      </c>
      <c r="E8">
        <v>0.007</v>
      </c>
      <c r="F8">
        <v>2.912</v>
      </c>
      <c r="G8">
        <v>2.821</v>
      </c>
      <c r="H8">
        <v>2.731</v>
      </c>
      <c r="J8">
        <f>K8+D8</f>
      </c>
      <c r="K8">
        <f>J7-G8</f>
      </c>
      <c r="L8">
        <f>(C8-E8)*100</f>
      </c>
      <c r="M8">
        <f>(F8-H8)*100</f>
      </c>
      <c r="N8">
        <f>M8+L8</f>
      </c>
      <c r="O8">
        <f>O7+N8</f>
      </c>
    </row>
    <row r="9" spans="1:15" x14ac:dyDescent="0.25">
      <c r="A9" t="s">
        <v>15</v>
      </c>
      <c r="B9" t="s">
        <v>50</v>
      </c>
      <c r="C9">
        <v>0.17</v>
      </c>
      <c r="D9">
        <v>0.083</v>
      </c>
      <c r="F9">
        <v>3.614</v>
      </c>
      <c r="G9">
        <v>3.51</v>
      </c>
      <c r="H9">
        <v>3.405</v>
      </c>
      <c r="J9">
        <f>K9+D9</f>
      </c>
      <c r="K9">
        <f>J8-G9</f>
      </c>
      <c r="L9">
        <v>25.7</v>
      </c>
      <c r="M9">
        <f>(F9-H9)*100</f>
      </c>
      <c r="N9">
        <f>M9+L9</f>
      </c>
      <c r="O9">
        <f>O8+N9</f>
      </c>
    </row>
    <row r="10" spans="1:15" x14ac:dyDescent="0.25">
      <c r="A10" t="s">
        <v>28</v>
      </c>
      <c r="B10" t="s">
        <v>50</v>
      </c>
      <c r="C10">
        <v>0.35</v>
      </c>
      <c r="D10">
        <v>0.266</v>
      </c>
      <c r="E10">
        <v>0.182</v>
      </c>
      <c r="F10">
        <v>3.034</v>
      </c>
      <c r="G10">
        <v>2.953</v>
      </c>
      <c r="H10">
        <v>2.872</v>
      </c>
      <c r="J10">
        <f>K10+D10</f>
      </c>
      <c r="K10">
        <f>J9-G10</f>
      </c>
      <c r="L10">
        <f>(C10-E10)*100</f>
      </c>
      <c r="M10">
        <f>(F10-H10)*100</f>
      </c>
      <c r="N10">
        <f>M10+L10</f>
      </c>
      <c r="O10">
        <f>O9+N10</f>
      </c>
    </row>
    <row r="11" spans="1:15" x14ac:dyDescent="0.25">
      <c r="A11" t="s">
        <v>13</v>
      </c>
      <c r="B11" t="s">
        <v>50</v>
      </c>
      <c r="C11">
        <v>0.235</v>
      </c>
      <c r="D11">
        <v>0.157</v>
      </c>
      <c r="E11">
        <v>0.078</v>
      </c>
      <c r="F11">
        <v>3.557</v>
      </c>
      <c r="G11">
        <v>3.456</v>
      </c>
      <c r="H11">
        <v>3.355</v>
      </c>
      <c r="J11">
        <f>K11+D11</f>
      </c>
      <c r="K11">
        <f>J10-G11</f>
      </c>
      <c r="L11">
        <f>(C11-E11)*100</f>
      </c>
      <c r="M11">
        <f>(F11-H11)*100</f>
      </c>
      <c r="N11">
        <f>M11+L11</f>
      </c>
      <c r="O11">
        <f>O10+N11</f>
      </c>
    </row>
    <row r="12" spans="1:15" x14ac:dyDescent="0.25">
      <c r="A12" t="s">
        <v>29</v>
      </c>
      <c r="B12" t="s">
        <v>51</v>
      </c>
      <c r="I12">
        <v>0.107</v>
      </c>
      <c r="K12">
        <f>J11-I12</f>
      </c>
      <c r="N12">
        <v>0</v>
      </c>
      <c r="O12">
        <f>O11+N12</f>
      </c>
    </row>
    <row r="13" spans="1:15" x14ac:dyDescent="0.25">
      <c r="A13" t="s">
        <v>30</v>
      </c>
      <c r="B13" t="s">
        <v>50</v>
      </c>
      <c r="C13">
        <v>0.085</v>
      </c>
      <c r="D13">
        <v>0.022</v>
      </c>
      <c r="F13">
        <v>3.988</v>
      </c>
      <c r="G13">
        <v>3.865</v>
      </c>
      <c r="H13">
        <v>3.741</v>
      </c>
      <c r="J13">
        <f>K13+D13</f>
      </c>
      <c r="K13">
        <f>J11-G13</f>
      </c>
      <c r="L13">
        <v>14.8</v>
      </c>
      <c r="M13">
        <f>(F13-H13)*100</f>
      </c>
      <c r="N13">
        <f>M13+L13</f>
      </c>
      <c r="O13">
        <f>O12+N13</f>
      </c>
    </row>
    <row r="14" spans="1:15" x14ac:dyDescent="0.25">
      <c r="A14" t="s">
        <v>10</v>
      </c>
      <c r="B14" t="s">
        <v>50</v>
      </c>
      <c r="C14">
        <v>0.224</v>
      </c>
      <c r="D14">
        <v>0.134</v>
      </c>
      <c r="E14">
        <v>0.044</v>
      </c>
      <c r="F14">
        <v>3.505</v>
      </c>
      <c r="G14">
        <v>3.4</v>
      </c>
      <c r="H14">
        <v>3.294</v>
      </c>
      <c r="J14">
        <f>K14+D14</f>
      </c>
      <c r="K14">
        <f>J13-G14</f>
      </c>
      <c r="L14">
        <f>(C14-E14)*100</f>
      </c>
      <c r="M14">
        <f>(F14-H14)*100</f>
      </c>
      <c r="N14">
        <f>M14+L14</f>
      </c>
      <c r="O14">
        <f>O13+N14</f>
      </c>
    </row>
    <row r="15" spans="1:15" x14ac:dyDescent="0.25">
      <c r="A15" t="s">
        <v>9</v>
      </c>
      <c r="B15" t="s">
        <v>50</v>
      </c>
      <c r="C15">
        <v>0.554</v>
      </c>
      <c r="D15">
        <v>0.452</v>
      </c>
      <c r="E15">
        <v>0.35</v>
      </c>
      <c r="F15">
        <v>3.323</v>
      </c>
      <c r="G15">
        <v>3.186</v>
      </c>
      <c r="H15">
        <v>3.048</v>
      </c>
      <c r="J15">
        <f>K15+D15</f>
      </c>
      <c r="K15">
        <f>J14-G15</f>
      </c>
      <c r="L15">
        <f>(C15-E15)*100</f>
      </c>
      <c r="M15">
        <f>(F15-H15)*100</f>
      </c>
      <c r="N15">
        <f>M15+L15</f>
      </c>
      <c r="O15">
        <f>O14+N15</f>
      </c>
    </row>
    <row r="16" spans="1:15" x14ac:dyDescent="0.25">
      <c r="A16" t="s">
        <v>8</v>
      </c>
      <c r="B16" t="s">
        <v>49</v>
      </c>
      <c r="F16">
        <v>1.591</v>
      </c>
      <c r="G16">
        <v>1.391</v>
      </c>
      <c r="H16">
        <v>1.19</v>
      </c>
      <c r="K16">
        <f>J15-G16</f>
      </c>
      <c r="M16">
        <f>(F16-H16)*100</f>
      </c>
      <c r="N16">
        <f>M16</f>
      </c>
      <c r="O16">
        <f>O15+N16</f>
      </c>
    </row>
    <row r="18" spans="1:2" x14ac:dyDescent="0.25">
      <c r="A18" s="26" t="s">
        <v>52</v>
      </c>
      <c r="B18">
        <f>SUM(D5:D16)</f>
      </c>
    </row>
    <row r="19" spans="1:2" x14ac:dyDescent="0.25">
      <c r="A19" s="26" t="s">
        <v>53</v>
      </c>
      <c r="B19">
        <f>SUM(G5:G16)</f>
      </c>
    </row>
    <row r="20" spans="1:2" x14ac:dyDescent="0.25">
      <c r="A20" s="26" t="s">
        <v>54</v>
      </c>
      <c r="B20">
        <f>B18-B19</f>
      </c>
    </row>
    <row r="21" spans="1:2" x14ac:dyDescent="0.25">
      <c r="A21" t="s">
        <v>55</v>
      </c>
      <c r="B21">
        <f>K16-K5</f>
      </c>
    </row>
    <row r="22" spans="1:2" x14ac:dyDescent="0.25">
      <c r="A22" t="s">
        <v>56</v>
      </c>
      <c r="B22">
        <f>B20-B21</f>
      </c>
    </row>
    <row r="24" spans="1:3" x14ac:dyDescent="0.25">
      <c r="A24" s="26" t="s">
        <v>57</v>
      </c>
      <c r="B24">
        <f>SUM(N5:N16)</f>
      </c>
      <c r="C24" s="2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5" width="17" customWidth="1"/>
  </cols>
  <sheetData>
    <row r="1" spans="1:1" x14ac:dyDescent="0.25">
      <c r="A1" s="24" t="s">
        <v>61</v>
      </c>
    </row>
    <row r="2" spans="1:1" x14ac:dyDescent="0.25">
      <c r="A2" s="25" t="s">
        <v>62</v>
      </c>
    </row>
    <row r="4" spans="1:2" x14ac:dyDescent="0.25">
      <c r="A4" s="26" t="s">
        <v>63</v>
      </c>
      <c r="B4">
        <f>'NIVELACION CORREGIDA'!B20</f>
      </c>
    </row>
    <row r="5" spans="1:2" x14ac:dyDescent="0.25">
      <c r="A5" s="26" t="s">
        <v>64</v>
      </c>
      <c r="B5">
        <f>'CONTRANIVELACION CORREGIDA'!B20</f>
      </c>
    </row>
    <row r="6" spans="1:3" x14ac:dyDescent="0.25">
      <c r="A6" s="26" t="s">
        <v>65</v>
      </c>
      <c r="B6">
        <f>(B4+B5)*1000</f>
      </c>
      <c r="C6" s="27" t="s">
        <v>66</v>
      </c>
    </row>
    <row r="8" spans="1:2" x14ac:dyDescent="0.25">
      <c r="A8" s="26" t="s">
        <v>67</v>
      </c>
      <c r="B8">
        <f>'NIVELACION CORREGIDA'!B24</f>
      </c>
    </row>
    <row r="9" spans="1:3" x14ac:dyDescent="0.25">
      <c r="A9" s="26" t="s">
        <v>68</v>
      </c>
      <c r="B9">
        <f>'CONTRANIVELACION CORREGIDA'!B24</f>
      </c>
      <c r="C9" s="27" t="s">
        <v>69</v>
      </c>
    </row>
    <row r="11" spans="1:3" x14ac:dyDescent="0.25">
      <c r="A11" s="26" t="s">
        <v>70</v>
      </c>
      <c r="B11">
        <v>12</v>
      </c>
      <c r="C11" s="27" t="s">
        <v>71</v>
      </c>
    </row>
    <row r="12" spans="1:3" x14ac:dyDescent="0.25">
      <c r="A12" s="26" t="s">
        <v>72</v>
      </c>
      <c r="B12">
        <f>B11*SQRT(B8/1000)</f>
      </c>
      <c r="C12" s="27" t="s">
        <v>73</v>
      </c>
    </row>
    <row r="13" spans="1:2" x14ac:dyDescent="0.25">
      <c r="A13" s="26" t="s">
        <v>74</v>
      </c>
      <c r="B13">
        <f>B11*SQRT(B9/1000)</f>
      </c>
    </row>
    <row r="14" spans="1:2" x14ac:dyDescent="0.25">
      <c r="A14" s="26" t="s">
        <v>75</v>
      </c>
      <c r="B14">
        <f>IF(ABS(B6)&lt;=MIN(B12,B13),"CUMPLE","NO CUMPLE")</f>
      </c>
    </row>
    <row r="17" spans="1:1" x14ac:dyDescent="0.25">
      <c r="A17" s="26" t="s">
        <v>76</v>
      </c>
    </row>
    <row r="18" spans="1:1" x14ac:dyDescent="0.25">
      <c r="A18" s="27" t="s">
        <v>77</v>
      </c>
    </row>
    <row r="19" spans="1:5" x14ac:dyDescent="0.25">
      <c r="A19" s="26" t="s">
        <v>0</v>
      </c>
      <c r="B19" s="26" t="s">
        <v>46</v>
      </c>
      <c r="C19" s="26" t="s">
        <v>47</v>
      </c>
      <c r="D19" s="26" t="s">
        <v>5</v>
      </c>
      <c r="E19" s="26" t="s">
        <v>48</v>
      </c>
    </row>
    <row r="20" spans="1:5" x14ac:dyDescent="0.25">
      <c r="A20">
        <f>'NIVELACION CORREGIDA'!A5</f>
      </c>
      <c r="B20">
        <f>'NIVELACION CORREGIDA'!O5</f>
      </c>
      <c r="C20">
        <f>-($B$6/1000)*(B20/$B$8)</f>
      </c>
      <c r="D20">
        <f>'NIVELACION CORREGIDA'!K5</f>
      </c>
      <c r="E20">
        <f>D20+C20</f>
      </c>
    </row>
    <row r="21" spans="1:5" x14ac:dyDescent="0.25">
      <c r="A21">
        <f>'NIVELACION CORREGIDA'!A6</f>
      </c>
      <c r="B21">
        <f>'NIVELACION CORREGIDA'!O6</f>
      </c>
      <c r="C21">
        <f>-($B$6/1000)*(B21/$B$8)</f>
      </c>
      <c r="D21">
        <f>'NIVELACION CORREGIDA'!K6</f>
      </c>
      <c r="E21">
        <f>D21+C21</f>
      </c>
    </row>
    <row r="22" spans="1:5" x14ac:dyDescent="0.25">
      <c r="A22">
        <f>'NIVELACION CORREGIDA'!A7</f>
      </c>
      <c r="B22">
        <f>'NIVELACION CORREGIDA'!O7</f>
      </c>
      <c r="C22">
        <f>-($B$6/1000)*(B22/$B$8)</f>
      </c>
      <c r="D22">
        <f>'NIVELACION CORREGIDA'!K7</f>
      </c>
      <c r="E22">
        <f>D22+C22</f>
      </c>
    </row>
    <row r="23" spans="1:5" x14ac:dyDescent="0.25">
      <c r="A23">
        <f>'NIVELACION CORREGIDA'!A8</f>
      </c>
      <c r="B23">
        <f>'NIVELACION CORREGIDA'!O8</f>
      </c>
      <c r="C23">
        <f>-($B$6/1000)*(B23/$B$8)</f>
      </c>
      <c r="D23">
        <f>'NIVELACION CORREGIDA'!K8</f>
      </c>
      <c r="E23">
        <f>D23+C23</f>
      </c>
    </row>
    <row r="24" spans="1:5" x14ac:dyDescent="0.25">
      <c r="A24">
        <f>'NIVELACION CORREGIDA'!A9</f>
      </c>
      <c r="B24">
        <f>'NIVELACION CORREGIDA'!O9</f>
      </c>
      <c r="C24">
        <f>-($B$6/1000)*(B24/$B$8)</f>
      </c>
      <c r="D24">
        <f>'NIVELACION CORREGIDA'!K9</f>
      </c>
      <c r="E24">
        <f>D24+C24</f>
      </c>
    </row>
    <row r="25" spans="1:5" x14ac:dyDescent="0.25">
      <c r="A25">
        <f>'NIVELACION CORREGIDA'!A10</f>
      </c>
      <c r="B25">
        <f>'NIVELACION CORREGIDA'!O10</f>
      </c>
      <c r="C25">
        <f>-($B$6/1000)*(B25/$B$8)</f>
      </c>
      <c r="D25">
        <f>'NIVELACION CORREGIDA'!K10</f>
      </c>
      <c r="E25">
        <f>D25+C25</f>
      </c>
    </row>
    <row r="26" spans="1:5" x14ac:dyDescent="0.25">
      <c r="A26">
        <f>'NIVELACION CORREGIDA'!A11</f>
      </c>
      <c r="B26">
        <f>'NIVELACION CORREGIDA'!O11</f>
      </c>
      <c r="C26">
        <f>-($B$6/1000)*(B26/$B$8)</f>
      </c>
      <c r="D26">
        <f>'NIVELACION CORREGIDA'!K11</f>
      </c>
      <c r="E26">
        <f>D26+C26</f>
      </c>
    </row>
    <row r="27" spans="1:5" x14ac:dyDescent="0.25">
      <c r="A27">
        <f>'NIVELACION CORREGIDA'!A12</f>
      </c>
      <c r="B27">
        <f>'NIVELACION CORREGIDA'!O12</f>
      </c>
      <c r="C27">
        <f>-($B$6/1000)*(B27/$B$8)</f>
      </c>
      <c r="D27">
        <f>'NIVELACION CORREGIDA'!K12</f>
      </c>
      <c r="E27">
        <f>D27+C27</f>
      </c>
    </row>
    <row r="28" spans="1:5" x14ac:dyDescent="0.25">
      <c r="A28">
        <f>'NIVELACION CORREGIDA'!A13</f>
      </c>
      <c r="B28">
        <f>'NIVELACION CORREGIDA'!O13</f>
      </c>
      <c r="C28">
        <f>-($B$6/1000)*(B28/$B$8)</f>
      </c>
      <c r="D28">
        <f>'NIVELACION CORREGIDA'!K13</f>
      </c>
      <c r="E28">
        <f>D28+C28</f>
      </c>
    </row>
    <row r="29" spans="1:5" x14ac:dyDescent="0.25">
      <c r="A29">
        <f>'NIVELACION CORREGIDA'!A14</f>
      </c>
      <c r="B29">
        <f>'NIVELACION CORREGIDA'!O14</f>
      </c>
      <c r="C29">
        <f>-($B$6/1000)*(B29/$B$8)</f>
      </c>
      <c r="D29">
        <f>'NIVELACION CORREGIDA'!K14</f>
      </c>
      <c r="E29">
        <f>D29+C29</f>
      </c>
    </row>
    <row r="30" spans="1:5" x14ac:dyDescent="0.25">
      <c r="A30">
        <f>'NIVELACION CORREGIDA'!A15</f>
      </c>
      <c r="B30">
        <f>'NIVELACION CORREGIDA'!O15</f>
      </c>
      <c r="C30">
        <f>-($B$6/1000)*(B30/$B$8)</f>
      </c>
      <c r="D30">
        <f>'NIVELACION CORREGIDA'!K15</f>
      </c>
      <c r="E30">
        <f>D30+C30</f>
      </c>
    </row>
    <row r="31" spans="1:5" x14ac:dyDescent="0.25">
      <c r="A31">
        <f>'NIVELACION CORREGIDA'!A16</f>
      </c>
      <c r="B31">
        <f>'NIVELACION CORREGIDA'!O16</f>
      </c>
      <c r="C31">
        <f>-($B$6/1000)*(B31/$B$8)</f>
      </c>
      <c r="D31">
        <f>'NIVELACION CORREGIDA'!K16</f>
      </c>
      <c r="E31">
        <f>D31+C31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NIVELACION</vt:lpstr>
      <vt:lpstr>CONTRANIVELACION</vt:lpstr>
      <vt:lpstr>NIVELACION CORREGIDA</vt:lpstr>
      <vt:lpstr>CONTRANIVELACION CORREGIDA</vt:lpstr>
      <vt:lpstr>CIERRE CORREGIDO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2026-05-25T20:05:14Z</dcterms:created>
  <dcterms:modified xsi:type="dcterms:W3CDTF">2026-09-14T20:26:13Z</dcterms:modified>
</cp:coreProperties>
</file>