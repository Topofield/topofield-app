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gi\OneDrive\Escritorio\UNIVERSIDAD\levantamientos\"/>
    </mc:Choice>
  </mc:AlternateContent>
  <bookViews>
    <workbookView xWindow="0" yWindow="0" windowWidth="25200" windowHeight="11880" activeTab="2"/>
  </bookViews>
  <sheets>
    <sheet name="CRANDALL" sheetId="5" r:id="rId1"/>
    <sheet name="TRANSITO" sheetId="6" r:id="rId2"/>
    <sheet name="BRUJULA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8" l="1"/>
  <c r="C25" i="8"/>
  <c r="D25" i="8" s="1"/>
  <c r="T20" i="8"/>
  <c r="F13" i="8"/>
  <c r="F12" i="8"/>
  <c r="AA11" i="8"/>
  <c r="F11" i="8"/>
  <c r="AA10" i="8"/>
  <c r="F10" i="8"/>
  <c r="AA9" i="8"/>
  <c r="F9" i="8"/>
  <c r="AA8" i="8"/>
  <c r="F8" i="8"/>
  <c r="AA7" i="8"/>
  <c r="F7" i="8"/>
  <c r="R6" i="8"/>
  <c r="U7" i="6"/>
  <c r="W7" i="6" s="1"/>
  <c r="F25" i="6"/>
  <c r="T20" i="6"/>
  <c r="F13" i="6"/>
  <c r="F12" i="6"/>
  <c r="AE11" i="6"/>
  <c r="F11" i="6"/>
  <c r="AE10" i="6"/>
  <c r="F10" i="6"/>
  <c r="AE9" i="6"/>
  <c r="F9" i="6"/>
  <c r="AE8" i="6"/>
  <c r="F8" i="6"/>
  <c r="AE7" i="6"/>
  <c r="F7" i="6"/>
  <c r="R6" i="6"/>
  <c r="AJ3" i="5"/>
  <c r="F22" i="5"/>
  <c r="T17" i="5"/>
  <c r="F10" i="5"/>
  <c r="F9" i="5"/>
  <c r="F8" i="5"/>
  <c r="F7" i="5"/>
  <c r="F6" i="5"/>
  <c r="F5" i="5"/>
  <c r="F4" i="5"/>
  <c r="R3" i="5"/>
  <c r="E25" i="8" l="1"/>
  <c r="F20" i="8"/>
  <c r="F24" i="8" s="1"/>
  <c r="C25" i="6"/>
  <c r="F20" i="6"/>
  <c r="F24" i="6" s="1"/>
  <c r="C22" i="5"/>
  <c r="D22" i="5" s="1"/>
  <c r="F17" i="5"/>
  <c r="F21" i="5" s="1"/>
  <c r="C24" i="8" l="1"/>
  <c r="D24" i="8" s="1"/>
  <c r="E24" i="8" s="1"/>
  <c r="F26" i="8"/>
  <c r="C24" i="6"/>
  <c r="D24" i="6" s="1"/>
  <c r="F26" i="6"/>
  <c r="D25" i="6"/>
  <c r="E25" i="6" s="1"/>
  <c r="E22" i="5"/>
  <c r="C21" i="5"/>
  <c r="D21" i="5" s="1"/>
  <c r="F23" i="5"/>
  <c r="F27" i="8" l="1"/>
  <c r="C26" i="8"/>
  <c r="F27" i="6"/>
  <c r="C26" i="6"/>
  <c r="E24" i="6"/>
  <c r="E21" i="5"/>
  <c r="F24" i="5"/>
  <c r="C23" i="5"/>
  <c r="C27" i="8" l="1"/>
  <c r="G7" i="8"/>
  <c r="G9" i="8"/>
  <c r="G13" i="8"/>
  <c r="G10" i="8"/>
  <c r="G12" i="8"/>
  <c r="G8" i="8"/>
  <c r="G11" i="8"/>
  <c r="C27" i="6"/>
  <c r="G10" i="6"/>
  <c r="G9" i="6"/>
  <c r="G13" i="6"/>
  <c r="G12" i="6"/>
  <c r="G8" i="6"/>
  <c r="G11" i="6"/>
  <c r="G7" i="6"/>
  <c r="C24" i="5"/>
  <c r="G6" i="5"/>
  <c r="G7" i="5"/>
  <c r="G10" i="5"/>
  <c r="G4" i="5"/>
  <c r="G9" i="5"/>
  <c r="G8" i="5"/>
  <c r="G5" i="5"/>
  <c r="H11" i="8" l="1"/>
  <c r="N11" i="8"/>
  <c r="H12" i="8"/>
  <c r="N12" i="8"/>
  <c r="H10" i="8"/>
  <c r="J10" i="8" s="1"/>
  <c r="I10" i="8"/>
  <c r="N10" i="8"/>
  <c r="H9" i="8"/>
  <c r="I9" i="8" s="1"/>
  <c r="J9" i="8" s="1"/>
  <c r="N9" i="8"/>
  <c r="H8" i="8"/>
  <c r="I8" i="8" s="1"/>
  <c r="N8" i="8"/>
  <c r="N13" i="8"/>
  <c r="H13" i="8"/>
  <c r="H7" i="8"/>
  <c r="I7" i="8" s="1"/>
  <c r="J7" i="8" s="1"/>
  <c r="N7" i="8"/>
  <c r="H7" i="6"/>
  <c r="N7" i="6"/>
  <c r="H11" i="6"/>
  <c r="N11" i="6"/>
  <c r="N8" i="6"/>
  <c r="H8" i="6"/>
  <c r="I8" i="6" s="1"/>
  <c r="N12" i="6"/>
  <c r="I12" i="6"/>
  <c r="H12" i="6"/>
  <c r="J12" i="6" s="1"/>
  <c r="H13" i="6"/>
  <c r="N13" i="6"/>
  <c r="H9" i="6"/>
  <c r="I9" i="6" s="1"/>
  <c r="J9" i="6" s="1"/>
  <c r="N9" i="6"/>
  <c r="N10" i="6"/>
  <c r="H10" i="6"/>
  <c r="H8" i="5"/>
  <c r="N8" i="5"/>
  <c r="H9" i="5"/>
  <c r="N9" i="5"/>
  <c r="I9" i="5"/>
  <c r="H7" i="5"/>
  <c r="I7" i="5" s="1"/>
  <c r="N7" i="5"/>
  <c r="H5" i="5"/>
  <c r="I5" i="5" s="1"/>
  <c r="J5" i="5" s="1"/>
  <c r="N5" i="5"/>
  <c r="H4" i="5"/>
  <c r="N4" i="5"/>
  <c r="H10" i="5"/>
  <c r="I10" i="5" s="1"/>
  <c r="N10" i="5"/>
  <c r="H6" i="5"/>
  <c r="I6" i="5" s="1"/>
  <c r="J6" i="5" s="1"/>
  <c r="N6" i="5"/>
  <c r="K12" i="8" l="1"/>
  <c r="L12" i="8"/>
  <c r="M12" i="8" s="1"/>
  <c r="I12" i="8"/>
  <c r="J12" i="8" s="1"/>
  <c r="K8" i="8"/>
  <c r="M8" i="8" s="1"/>
  <c r="L8" i="8"/>
  <c r="K11" i="8"/>
  <c r="L11" i="8" s="1"/>
  <c r="M11" i="8" s="1"/>
  <c r="K13" i="8"/>
  <c r="I13" i="8"/>
  <c r="J13" i="8" s="1"/>
  <c r="J8" i="8"/>
  <c r="K10" i="8"/>
  <c r="I11" i="8"/>
  <c r="J11" i="8" s="1"/>
  <c r="N20" i="8"/>
  <c r="K7" i="8"/>
  <c r="S7" i="8"/>
  <c r="R7" i="8" s="1"/>
  <c r="K9" i="8"/>
  <c r="L9" i="8"/>
  <c r="M9" i="8" s="1"/>
  <c r="J8" i="6"/>
  <c r="K9" i="6"/>
  <c r="L9" i="6" s="1"/>
  <c r="I13" i="6"/>
  <c r="J13" i="6" s="1"/>
  <c r="N20" i="6"/>
  <c r="K7" i="6"/>
  <c r="L7" i="6" s="1"/>
  <c r="S7" i="6"/>
  <c r="R7" i="6" s="1"/>
  <c r="I10" i="6"/>
  <c r="J10" i="6" s="1"/>
  <c r="I7" i="6"/>
  <c r="J7" i="6" s="1"/>
  <c r="K8" i="6"/>
  <c r="K13" i="6"/>
  <c r="M13" i="6" s="1"/>
  <c r="L13" i="6"/>
  <c r="L11" i="6"/>
  <c r="M11" i="6" s="1"/>
  <c r="K11" i="6"/>
  <c r="I11" i="6"/>
  <c r="J11" i="6" s="1"/>
  <c r="K10" i="6"/>
  <c r="L10" i="6" s="1"/>
  <c r="M10" i="6" s="1"/>
  <c r="K12" i="6"/>
  <c r="J9" i="5"/>
  <c r="K10" i="5"/>
  <c r="L10" i="5" s="1"/>
  <c r="J7" i="5"/>
  <c r="J10" i="5"/>
  <c r="K8" i="5"/>
  <c r="L8" i="5" s="1"/>
  <c r="K9" i="5"/>
  <c r="L9" i="5" s="1"/>
  <c r="M9" i="5" s="1"/>
  <c r="K5" i="5"/>
  <c r="I8" i="5"/>
  <c r="J8" i="5" s="1"/>
  <c r="K7" i="5"/>
  <c r="L7" i="5" s="1"/>
  <c r="M7" i="5" s="1"/>
  <c r="N17" i="5"/>
  <c r="S4" i="5"/>
  <c r="R4" i="5" s="1"/>
  <c r="K4" i="5"/>
  <c r="L4" i="5" s="1"/>
  <c r="M4" i="5" s="1"/>
  <c r="I4" i="5"/>
  <c r="J4" i="5" s="1"/>
  <c r="K6" i="5"/>
  <c r="L6" i="5" s="1"/>
  <c r="L10" i="8" l="1"/>
  <c r="M10" i="8" s="1"/>
  <c r="O7" i="8"/>
  <c r="V7" i="8"/>
  <c r="U7" i="8"/>
  <c r="S8" i="8"/>
  <c r="R8" i="8" s="1"/>
  <c r="P7" i="8"/>
  <c r="Q7" i="8" s="1"/>
  <c r="L13" i="8"/>
  <c r="M13" i="8" s="1"/>
  <c r="L7" i="8"/>
  <c r="M7" i="8" s="1"/>
  <c r="M9" i="6"/>
  <c r="L12" i="6"/>
  <c r="M12" i="6" s="1"/>
  <c r="L8" i="6"/>
  <c r="M8" i="6" s="1"/>
  <c r="O7" i="6"/>
  <c r="S8" i="6"/>
  <c r="R8" i="6" s="1"/>
  <c r="P7" i="6"/>
  <c r="Q7" i="6" s="1"/>
  <c r="V7" i="6"/>
  <c r="M7" i="6"/>
  <c r="O4" i="5"/>
  <c r="P4" i="5" s="1"/>
  <c r="S5" i="5"/>
  <c r="R5" i="5" s="1"/>
  <c r="V4" i="5"/>
  <c r="U4" i="5"/>
  <c r="M8" i="5"/>
  <c r="M10" i="5"/>
  <c r="M6" i="5"/>
  <c r="L5" i="5"/>
  <c r="M5" i="5" s="1"/>
  <c r="S9" i="8" l="1"/>
  <c r="R9" i="8" s="1"/>
  <c r="O8" i="8"/>
  <c r="V8" i="8"/>
  <c r="U8" i="8"/>
  <c r="X7" i="6"/>
  <c r="X4" i="5"/>
  <c r="Y4" i="5"/>
  <c r="W4" i="5"/>
  <c r="S9" i="6"/>
  <c r="R9" i="6" s="1"/>
  <c r="O8" i="6"/>
  <c r="U8" i="6"/>
  <c r="V8" i="6"/>
  <c r="V5" i="5"/>
  <c r="S6" i="5"/>
  <c r="R6" i="5" s="1"/>
  <c r="O5" i="5"/>
  <c r="U5" i="5"/>
  <c r="Q4" i="5"/>
  <c r="V9" i="8" l="1"/>
  <c r="U9" i="8"/>
  <c r="S10" i="8"/>
  <c r="R10" i="8" s="1"/>
  <c r="O9" i="8"/>
  <c r="P9" i="8" s="1"/>
  <c r="P8" i="8"/>
  <c r="Q8" i="8" s="1"/>
  <c r="X8" i="6"/>
  <c r="W8" i="6"/>
  <c r="X5" i="5"/>
  <c r="Z4" i="5"/>
  <c r="W5" i="5"/>
  <c r="Y5" i="5"/>
  <c r="Z5" i="5" s="1"/>
  <c r="V9" i="6"/>
  <c r="U9" i="6"/>
  <c r="S10" i="6"/>
  <c r="R10" i="6" s="1"/>
  <c r="O9" i="6"/>
  <c r="P9" i="6" s="1"/>
  <c r="P8" i="6"/>
  <c r="Q8" i="6" s="1"/>
  <c r="P5" i="5"/>
  <c r="Q5" i="5" s="1"/>
  <c r="V6" i="5"/>
  <c r="U6" i="5"/>
  <c r="S7" i="5"/>
  <c r="R7" i="5" s="1"/>
  <c r="O6" i="5"/>
  <c r="S11" i="8" l="1"/>
  <c r="R11" i="8" s="1"/>
  <c r="O10" i="8"/>
  <c r="V10" i="8"/>
  <c r="U10" i="8"/>
  <c r="Q9" i="8"/>
  <c r="W9" i="6"/>
  <c r="X9" i="6"/>
  <c r="X6" i="5"/>
  <c r="W6" i="5"/>
  <c r="Y6" i="5"/>
  <c r="Z6" i="5" s="1"/>
  <c r="Q9" i="6"/>
  <c r="V10" i="6"/>
  <c r="U10" i="6"/>
  <c r="O10" i="6"/>
  <c r="Q10" i="6" s="1"/>
  <c r="S11" i="6"/>
  <c r="R11" i="6" s="1"/>
  <c r="P10" i="6"/>
  <c r="P6" i="5"/>
  <c r="Q6" i="5" s="1"/>
  <c r="V7" i="5"/>
  <c r="O7" i="5"/>
  <c r="U7" i="5"/>
  <c r="S8" i="5"/>
  <c r="R8" i="5" s="1"/>
  <c r="P7" i="5"/>
  <c r="Q7" i="5" s="1"/>
  <c r="P10" i="8" l="1"/>
  <c r="Q10" i="8" s="1"/>
  <c r="O11" i="8"/>
  <c r="U11" i="8"/>
  <c r="V11" i="8"/>
  <c r="S12" i="8"/>
  <c r="R12" i="8" s="1"/>
  <c r="P11" i="8"/>
  <c r="Q11" i="8" s="1"/>
  <c r="W10" i="6"/>
  <c r="X10" i="6"/>
  <c r="X7" i="5"/>
  <c r="W7" i="5"/>
  <c r="Y7" i="5"/>
  <c r="O11" i="6"/>
  <c r="P11" i="6" s="1"/>
  <c r="Q11" i="6" s="1"/>
  <c r="S12" i="6"/>
  <c r="R12" i="6" s="1"/>
  <c r="V11" i="6"/>
  <c r="U11" i="6"/>
  <c r="O8" i="5"/>
  <c r="P8" i="5"/>
  <c r="Q8" i="5" s="1"/>
  <c r="V8" i="5"/>
  <c r="U8" i="5"/>
  <c r="S9" i="5"/>
  <c r="R9" i="5" s="1"/>
  <c r="V12" i="8" l="1"/>
  <c r="S13" i="8"/>
  <c r="R13" i="8" s="1"/>
  <c r="O12" i="8"/>
  <c r="U12" i="8"/>
  <c r="X11" i="6"/>
  <c r="W11" i="6"/>
  <c r="Z7" i="5"/>
  <c r="X8" i="5"/>
  <c r="W8" i="5"/>
  <c r="Y8" i="5"/>
  <c r="Z8" i="5" s="1"/>
  <c r="S13" i="6"/>
  <c r="R13" i="6" s="1"/>
  <c r="O12" i="6"/>
  <c r="V12" i="6"/>
  <c r="U12" i="6"/>
  <c r="S10" i="5"/>
  <c r="R10" i="5" s="1"/>
  <c r="O9" i="5"/>
  <c r="U9" i="5"/>
  <c r="V9" i="5"/>
  <c r="U20" i="8" l="1"/>
  <c r="U22" i="8"/>
  <c r="P12" i="8"/>
  <c r="Q12" i="8" s="1"/>
  <c r="O13" i="8"/>
  <c r="P13" i="8"/>
  <c r="Q13" i="8" s="1"/>
  <c r="V20" i="8"/>
  <c r="V22" i="8"/>
  <c r="W12" i="6"/>
  <c r="W20" i="6" s="1"/>
  <c r="X12" i="6"/>
  <c r="X20" i="6" s="1"/>
  <c r="X9" i="5"/>
  <c r="W9" i="5"/>
  <c r="Y9" i="5"/>
  <c r="Z9" i="5" s="1"/>
  <c r="Y17" i="5"/>
  <c r="X17" i="5"/>
  <c r="Z17" i="5"/>
  <c r="V22" i="6"/>
  <c r="V20" i="6"/>
  <c r="P12" i="6"/>
  <c r="Q12" i="6" s="1"/>
  <c r="U20" i="6"/>
  <c r="U22" i="6"/>
  <c r="O13" i="6"/>
  <c r="U17" i="5"/>
  <c r="U19" i="5"/>
  <c r="P9" i="5"/>
  <c r="Q9" i="5" s="1"/>
  <c r="V17" i="5"/>
  <c r="V19" i="5"/>
  <c r="O10" i="5"/>
  <c r="X10" i="8" l="1"/>
  <c r="X7" i="8"/>
  <c r="X8" i="8"/>
  <c r="X9" i="8"/>
  <c r="X11" i="8"/>
  <c r="V21" i="8"/>
  <c r="V23" i="8" s="1"/>
  <c r="X12" i="8"/>
  <c r="U24" i="8"/>
  <c r="U25" i="8" s="1"/>
  <c r="W10" i="8"/>
  <c r="W11" i="8"/>
  <c r="W7" i="8"/>
  <c r="U21" i="8"/>
  <c r="U23" i="8" s="1"/>
  <c r="W9" i="8"/>
  <c r="W12" i="8"/>
  <c r="W8" i="8"/>
  <c r="Z8" i="6"/>
  <c r="AB8" i="6" s="1"/>
  <c r="Z9" i="6"/>
  <c r="AB9" i="6" s="1"/>
  <c r="Z12" i="6"/>
  <c r="AB12" i="6" s="1"/>
  <c r="Z10" i="6"/>
  <c r="AB10" i="6" s="1"/>
  <c r="Z11" i="6"/>
  <c r="AB11" i="6" s="1"/>
  <c r="Z7" i="6"/>
  <c r="AB7" i="6" s="1"/>
  <c r="AD7" i="6" s="1"/>
  <c r="AD8" i="6" s="1"/>
  <c r="AD9" i="6" s="1"/>
  <c r="AD10" i="6" s="1"/>
  <c r="AD11" i="6" s="1"/>
  <c r="AD12" i="6" s="1"/>
  <c r="Y8" i="6"/>
  <c r="AA8" i="6" s="1"/>
  <c r="Y7" i="6"/>
  <c r="AA7" i="6" s="1"/>
  <c r="AC7" i="6" s="1"/>
  <c r="AC8" i="6" s="1"/>
  <c r="AC9" i="6" s="1"/>
  <c r="AC10" i="6" s="1"/>
  <c r="AC11" i="6" s="1"/>
  <c r="AC12" i="6" s="1"/>
  <c r="Y10" i="6"/>
  <c r="AA10" i="6" s="1"/>
  <c r="Y9" i="6"/>
  <c r="AA9" i="6" s="1"/>
  <c r="Y11" i="6"/>
  <c r="AA11" i="6" s="1"/>
  <c r="Y12" i="6"/>
  <c r="AA12" i="6" s="1"/>
  <c r="W17" i="5"/>
  <c r="AA4" i="5" s="1"/>
  <c r="P13" i="6"/>
  <c r="Q13" i="6" s="1"/>
  <c r="U21" i="6"/>
  <c r="U23" i="6" s="1"/>
  <c r="U24" i="6"/>
  <c r="U25" i="6" s="1"/>
  <c r="V21" i="6"/>
  <c r="V23" i="6" s="1"/>
  <c r="V18" i="5"/>
  <c r="V20" i="5" s="1"/>
  <c r="P10" i="5"/>
  <c r="Q10" i="5" s="1"/>
  <c r="U18" i="5"/>
  <c r="U20" i="5" s="1"/>
  <c r="U21" i="5"/>
  <c r="U22" i="5" s="1"/>
  <c r="Y7" i="8" l="1"/>
  <c r="Y8" i="8" s="1"/>
  <c r="Y9" i="8" s="1"/>
  <c r="Y10" i="8" s="1"/>
  <c r="Y11" i="8" s="1"/>
  <c r="Y12" i="8" s="1"/>
  <c r="W20" i="8"/>
  <c r="X20" i="8"/>
  <c r="Z7" i="8"/>
  <c r="Z8" i="8" s="1"/>
  <c r="Z9" i="8" s="1"/>
  <c r="Z10" i="8" s="1"/>
  <c r="Z11" i="8" s="1"/>
  <c r="Z12" i="8" s="1"/>
  <c r="AB4" i="5"/>
  <c r="Z20" i="6"/>
  <c r="Y20" i="6"/>
  <c r="AD4" i="5" l="1"/>
  <c r="AF4" i="5" s="1"/>
  <c r="AH4" i="5" s="1"/>
  <c r="AD5" i="5"/>
  <c r="AF5" i="5" s="1"/>
  <c r="AD6" i="5"/>
  <c r="AF6" i="5" s="1"/>
  <c r="AD7" i="5"/>
  <c r="AF7" i="5" s="1"/>
  <c r="AD8" i="5"/>
  <c r="AF8" i="5" s="1"/>
  <c r="AD9" i="5"/>
  <c r="AF9" i="5" s="1"/>
  <c r="AC8" i="5"/>
  <c r="AE8" i="5" s="1"/>
  <c r="AC5" i="5"/>
  <c r="AE5" i="5" s="1"/>
  <c r="AC9" i="5"/>
  <c r="AE9" i="5" s="1"/>
  <c r="AC7" i="5"/>
  <c r="AE7" i="5" s="1"/>
  <c r="AC6" i="5"/>
  <c r="AE6" i="5" s="1"/>
  <c r="AC4" i="5"/>
  <c r="AE4" i="5" s="1"/>
  <c r="AG4" i="5" s="1"/>
  <c r="AI14" i="5" l="1"/>
  <c r="AG5" i="5"/>
  <c r="AJ14" i="5"/>
  <c r="AH5" i="5"/>
  <c r="AJ4" i="5"/>
  <c r="AH6" i="5" l="1"/>
  <c r="AJ15" i="5"/>
  <c r="AJ5" i="5"/>
  <c r="AG6" i="5"/>
  <c r="AI15" i="5"/>
  <c r="AG7" i="5" l="1"/>
  <c r="AI16" i="5"/>
  <c r="AH7" i="5"/>
  <c r="AJ16" i="5"/>
  <c r="AJ6" i="5"/>
  <c r="AH8" i="5" l="1"/>
  <c r="AJ7" i="5"/>
  <c r="AJ17" i="5"/>
  <c r="AG8" i="5"/>
  <c r="AI17" i="5"/>
  <c r="AG9" i="5" l="1"/>
  <c r="AI19" i="5" s="1"/>
  <c r="AI18" i="5"/>
  <c r="AH9" i="5"/>
  <c r="AJ8" i="5"/>
  <c r="AJ18" i="5"/>
  <c r="AJ9" i="5" l="1"/>
  <c r="AJ19" i="5"/>
</calcChain>
</file>

<file path=xl/sharedStrings.xml><?xml version="1.0" encoding="utf-8"?>
<sst xmlns="http://schemas.openxmlformats.org/spreadsheetml/2006/main" count="215" uniqueCount="61">
  <si>
    <t>D1</t>
  </si>
  <si>
    <t>D2</t>
  </si>
  <si>
    <t>D3</t>
  </si>
  <si>
    <t>TT4</t>
  </si>
  <si>
    <t>D4</t>
  </si>
  <si>
    <t>D5</t>
  </si>
  <si>
    <t>V10</t>
  </si>
  <si>
    <t>AZIMUT</t>
  </si>
  <si>
    <t>PROYECCIONES</t>
  </si>
  <si>
    <t>N</t>
  </si>
  <si>
    <t>E</t>
  </si>
  <si>
    <t>DELTA</t>
  </si>
  <si>
    <t>PUNTO</t>
  </si>
  <si>
    <t>ANG. HOR</t>
  </si>
  <si>
    <t>CORR</t>
  </si>
  <si>
    <t>ANG. HOR. CORREGIDO</t>
  </si>
  <si>
    <t>DIST</t>
  </si>
  <si>
    <t>G</t>
  </si>
  <si>
    <t>M</t>
  </si>
  <si>
    <t>S</t>
  </si>
  <si>
    <t xml:space="preserve">DEC </t>
  </si>
  <si>
    <t>DEC</t>
  </si>
  <si>
    <t>GR-05</t>
  </si>
  <si>
    <t>CN-1</t>
  </si>
  <si>
    <t>D6</t>
  </si>
  <si>
    <t>PROY CORREGIDAS</t>
  </si>
  <si>
    <t>COORDENADAS</t>
  </si>
  <si>
    <t>N-S</t>
  </si>
  <si>
    <t>E-W</t>
  </si>
  <si>
    <t>SUMATORIA</t>
  </si>
  <si>
    <t xml:space="preserve">DIFERENCIAS O DELTAS  NS Y EW    </t>
  </si>
  <si>
    <t>N. DE VERTICES</t>
  </si>
  <si>
    <t>SUMA DE PROYECIONES N+S Y E+W</t>
  </si>
  <si>
    <t>TIPO DE ANGULO</t>
  </si>
  <si>
    <t>I</t>
  </si>
  <si>
    <t xml:space="preserve">CORECCION UNITARIA  PARA LAS NS Y EW </t>
  </si>
  <si>
    <t>PTO</t>
  </si>
  <si>
    <t>SUMA DE ANG. OBSSERVADOS</t>
  </si>
  <si>
    <t xml:space="preserve">ERROR DE CIERRE DE LA POLIGONAL  </t>
  </si>
  <si>
    <t>SUMA DE ANG. TEORICOS</t>
  </si>
  <si>
    <t xml:space="preserve">                    PRECISION                                                1 :</t>
  </si>
  <si>
    <t>ERROR EN ÁNGULO</t>
  </si>
  <si>
    <t>CORR. ANGULAR</t>
  </si>
  <si>
    <t>L´2</t>
  </si>
  <si>
    <t>D´2</t>
  </si>
  <si>
    <t>LD</t>
  </si>
  <si>
    <t>LD´2</t>
  </si>
  <si>
    <t>A</t>
  </si>
  <si>
    <t>B</t>
  </si>
  <si>
    <t>CPN</t>
  </si>
  <si>
    <t>CPE</t>
  </si>
  <si>
    <t>PCN</t>
  </si>
  <si>
    <t>PCE</t>
  </si>
  <si>
    <t>PROYECCIONES ABSOLUTAS</t>
  </si>
  <si>
    <t>|PN|</t>
  </si>
  <si>
    <t>|PE|</t>
  </si>
  <si>
    <t>PNC</t>
  </si>
  <si>
    <t>PEC</t>
  </si>
  <si>
    <t>AJUSTE DE POLIGONAL CERRADA POR EL METODO DE TRANSITO</t>
  </si>
  <si>
    <t>CORRECIÓN</t>
  </si>
  <si>
    <t>AJUSTE DE POLIGONAL CERRADA POR EL METODO DE BRUJULA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</si>
</sst>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0"/>
    <numFmt numFmtId="166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8" xfId="0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2" fillId="0" borderId="49" xfId="0" applyFont="1" applyBorder="1" applyAlignment="1">
      <alignment horizontal="center"/>
    </xf>
    <xf numFmtId="164" fontId="0" fillId="0" borderId="49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0" fontId="0" fillId="0" borderId="45" xfId="0" applyBorder="1" applyAlignment="1">
      <alignment horizont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64" fontId="7" fillId="0" borderId="9" xfId="0" applyNumberFormat="1" applyFont="1" applyFill="1" applyBorder="1" applyAlignment="1">
      <alignment horizontal="center" vertical="center"/>
    </xf>
    <xf numFmtId="164" fontId="7" fillId="0" borderId="11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39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164" fontId="7" fillId="0" borderId="28" xfId="0" applyNumberFormat="1" applyFont="1" applyFill="1" applyBorder="1" applyAlignment="1">
      <alignment horizontal="center" vertical="center"/>
    </xf>
    <xf numFmtId="164" fontId="7" fillId="0" borderId="2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center"/>
    </xf>
    <xf numFmtId="165" fontId="7" fillId="0" borderId="28" xfId="0" applyNumberFormat="1" applyFont="1" applyFill="1" applyBorder="1" applyAlignment="1">
      <alignment horizontal="center" vertical="center"/>
    </xf>
    <xf numFmtId="165" fontId="7" fillId="0" borderId="31" xfId="0" applyNumberFormat="1" applyFont="1" applyFill="1" applyBorder="1" applyAlignment="1">
      <alignment horizontal="center" vertical="center"/>
    </xf>
    <xf numFmtId="165" fontId="7" fillId="0" borderId="0" xfId="0" applyNumberFormat="1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9" fillId="0" borderId="2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164" fontId="7" fillId="0" borderId="15" xfId="0" applyNumberFormat="1" applyFont="1" applyFill="1" applyBorder="1" applyAlignment="1">
      <alignment horizontal="center" vertical="center"/>
    </xf>
    <xf numFmtId="164" fontId="7" fillId="0" borderId="17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6" fillId="0" borderId="44" xfId="0" applyFont="1" applyFill="1" applyBorder="1" applyAlignment="1">
      <alignment horizontal="center" vertical="center"/>
    </xf>
    <xf numFmtId="0" fontId="6" fillId="0" borderId="52" xfId="0" applyFont="1" applyFill="1" applyBorder="1" applyAlignment="1">
      <alignment horizontal="center" vertical="center"/>
    </xf>
    <xf numFmtId="0" fontId="6" fillId="0" borderId="45" xfId="0" applyFont="1" applyFill="1" applyBorder="1" applyAlignment="1">
      <alignment horizontal="center" vertical="center"/>
    </xf>
    <xf numFmtId="0" fontId="10" fillId="0" borderId="44" xfId="0" applyFont="1" applyFill="1" applyBorder="1" applyAlignment="1">
      <alignment horizontal="center" vertical="center"/>
    </xf>
    <xf numFmtId="0" fontId="10" fillId="0" borderId="45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166" fontId="0" fillId="0" borderId="30" xfId="0" applyNumberForma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7" xfId="0" applyBorder="1" applyAlignment="1">
      <alignment horizontal="center" vertical="center" wrapText="1"/>
    </xf>
    <xf numFmtId="164" fontId="0" fillId="0" borderId="0" xfId="0" applyNumberFormat="1"/>
    <xf numFmtId="164" fontId="0" fillId="0" borderId="39" xfId="0" applyNumberFormat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0" xfId="0" applyBorder="1" applyAlignment="1"/>
    <xf numFmtId="0" fontId="1" fillId="0" borderId="44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4"/>
  <sheetViews>
    <sheetView topLeftCell="M1" zoomScaleNormal="100" workbookViewId="0">
      <selection activeCell="T4" sqref="T4:T9"/>
    </sheetView>
  </sheetViews>
  <sheetFormatPr baseColWidth="10" defaultRowHeight="15" x14ac:dyDescent="0.25"/>
  <cols>
    <col min="24" max="24" width="12.85546875" customWidth="1"/>
  </cols>
  <sheetData>
    <row r="1" spans="1:36" x14ac:dyDescent="0.25">
      <c r="A1" s="6" t="s">
        <v>11</v>
      </c>
      <c r="B1" s="7" t="s">
        <v>12</v>
      </c>
      <c r="C1" s="8" t="s">
        <v>13</v>
      </c>
      <c r="D1" s="9"/>
      <c r="E1" s="9"/>
      <c r="F1" s="10"/>
      <c r="G1" s="11" t="s">
        <v>14</v>
      </c>
      <c r="H1" s="12"/>
      <c r="I1" s="12"/>
      <c r="J1" s="13"/>
      <c r="K1" s="8" t="s">
        <v>15</v>
      </c>
      <c r="L1" s="9"/>
      <c r="M1" s="9"/>
      <c r="N1" s="10"/>
      <c r="O1" s="9" t="s">
        <v>7</v>
      </c>
      <c r="P1" s="9"/>
      <c r="Q1" s="9"/>
      <c r="R1" s="9"/>
      <c r="S1" s="10"/>
      <c r="T1" s="14" t="s">
        <v>16</v>
      </c>
      <c r="U1" s="11" t="s">
        <v>8</v>
      </c>
      <c r="V1" s="13"/>
      <c r="W1" s="138" t="s">
        <v>43</v>
      </c>
      <c r="X1" s="140" t="s">
        <v>44</v>
      </c>
      <c r="Y1" s="138" t="s">
        <v>45</v>
      </c>
      <c r="Z1" s="140" t="s">
        <v>46</v>
      </c>
      <c r="AA1" s="6" t="s">
        <v>47</v>
      </c>
      <c r="AB1" s="142" t="s">
        <v>48</v>
      </c>
      <c r="AC1" s="142" t="s">
        <v>49</v>
      </c>
      <c r="AD1" s="142" t="s">
        <v>50</v>
      </c>
      <c r="AE1" s="142" t="s">
        <v>51</v>
      </c>
      <c r="AF1" s="142" t="s">
        <v>52</v>
      </c>
    </row>
    <row r="2" spans="1:36" ht="15.75" thickBot="1" x14ac:dyDescent="0.3">
      <c r="A2" s="15"/>
      <c r="B2" s="16"/>
      <c r="C2" s="17" t="s">
        <v>17</v>
      </c>
      <c r="D2" s="18" t="s">
        <v>18</v>
      </c>
      <c r="E2" s="18" t="s">
        <v>19</v>
      </c>
      <c r="F2" s="19" t="s">
        <v>20</v>
      </c>
      <c r="G2" s="17" t="s">
        <v>21</v>
      </c>
      <c r="H2" s="20" t="s">
        <v>17</v>
      </c>
      <c r="I2" s="20" t="s">
        <v>18</v>
      </c>
      <c r="J2" s="21" t="s">
        <v>19</v>
      </c>
      <c r="K2" s="22" t="s">
        <v>17</v>
      </c>
      <c r="L2" s="23" t="s">
        <v>18</v>
      </c>
      <c r="M2" s="23" t="s">
        <v>19</v>
      </c>
      <c r="N2" s="24" t="s">
        <v>21</v>
      </c>
      <c r="O2" s="25" t="s">
        <v>17</v>
      </c>
      <c r="P2" s="18" t="s">
        <v>18</v>
      </c>
      <c r="Q2" s="18" t="s">
        <v>19</v>
      </c>
      <c r="R2" s="19" t="s">
        <v>21</v>
      </c>
      <c r="S2" s="23" t="s">
        <v>21</v>
      </c>
      <c r="T2" s="26"/>
      <c r="U2" s="17" t="s">
        <v>27</v>
      </c>
      <c r="V2" s="19" t="s">
        <v>28</v>
      </c>
      <c r="W2" s="139"/>
      <c r="X2" s="141"/>
      <c r="Y2" s="139"/>
      <c r="Z2" s="141"/>
      <c r="AA2" s="15"/>
      <c r="AB2" s="143"/>
      <c r="AC2" s="143"/>
      <c r="AD2" s="143"/>
      <c r="AE2" s="143"/>
      <c r="AF2" s="143"/>
    </row>
    <row r="3" spans="1:36" ht="15.75" thickBot="1" x14ac:dyDescent="0.3">
      <c r="A3" s="27"/>
      <c r="B3" s="27" t="s">
        <v>22</v>
      </c>
      <c r="C3" s="28">
        <v>0</v>
      </c>
      <c r="D3" s="29">
        <v>0</v>
      </c>
      <c r="E3" s="29">
        <v>0</v>
      </c>
      <c r="F3" s="30"/>
      <c r="G3" s="31"/>
      <c r="H3" s="32"/>
      <c r="I3" s="32"/>
      <c r="J3" s="33"/>
      <c r="K3" s="34"/>
      <c r="L3" s="34"/>
      <c r="M3" s="34"/>
      <c r="N3" s="35"/>
      <c r="O3" s="3">
        <v>330</v>
      </c>
      <c r="P3" s="4">
        <v>35</v>
      </c>
      <c r="Q3" s="5">
        <v>57.23</v>
      </c>
      <c r="R3" s="36">
        <f>O3+(P3/60)+(Q3/3600)</f>
        <v>330.59923055555555</v>
      </c>
      <c r="S3" s="37"/>
      <c r="T3" s="27"/>
      <c r="U3" s="31"/>
      <c r="V3" s="33"/>
      <c r="W3" s="31"/>
      <c r="X3" s="55"/>
      <c r="Y3" s="31"/>
      <c r="Z3" s="33"/>
      <c r="AA3" s="27"/>
      <c r="AG3">
        <v>100135.666</v>
      </c>
      <c r="AH3">
        <v>101440.52499999999</v>
      </c>
      <c r="AJ3" t="str">
        <f>CONCATENATE(AH3,",",AG3)</f>
        <v>101440.525,100135.666</v>
      </c>
    </row>
    <row r="4" spans="1:36" x14ac:dyDescent="0.25">
      <c r="A4" s="27" t="s">
        <v>23</v>
      </c>
      <c r="B4" s="38" t="s">
        <v>0</v>
      </c>
      <c r="C4" s="39">
        <v>211</v>
      </c>
      <c r="D4" s="40">
        <v>15</v>
      </c>
      <c r="E4" s="40">
        <v>7</v>
      </c>
      <c r="F4" s="41">
        <f>C4+(D4/60)+(E4/3600)</f>
        <v>211.25194444444443</v>
      </c>
      <c r="G4" s="42">
        <f>$F$24</f>
        <v>4.7619047622252504E-4</v>
      </c>
      <c r="H4" s="43">
        <f>INT(G4)</f>
        <v>0</v>
      </c>
      <c r="I4" s="43">
        <f>INT(G4-H4)*60</f>
        <v>0</v>
      </c>
      <c r="J4" s="44">
        <f>(((G4-H4)*60-I4)*60)</f>
        <v>1.7142857144010901</v>
      </c>
      <c r="K4" s="45">
        <f>INT(N4)</f>
        <v>211</v>
      </c>
      <c r="L4" s="45">
        <f>INT((N4-K4)*60)</f>
        <v>15</v>
      </c>
      <c r="M4" s="45">
        <f>((N4-K4)*60-L4)*60</f>
        <v>5.2857142855145867</v>
      </c>
      <c r="N4" s="46">
        <f>F4-G4</f>
        <v>211.2514682539682</v>
      </c>
      <c r="O4" s="45">
        <f>INT(R4)</f>
        <v>181</v>
      </c>
      <c r="P4" s="43">
        <f>INT((R4-O4)*60)</f>
        <v>51</v>
      </c>
      <c r="Q4" s="47">
        <f>((R4-O4)*60-P4)*60</f>
        <v>2.5157142852913239</v>
      </c>
      <c r="R4" s="44">
        <f>IF(S4&gt;360,S4-360,S4)</f>
        <v>181.85069880952369</v>
      </c>
      <c r="S4" s="37">
        <f>R3+N4</f>
        <v>541.85069880952369</v>
      </c>
      <c r="T4" s="2">
        <v>20.744</v>
      </c>
      <c r="U4" s="56">
        <f>(COS(RADIANS(R4))*T4)</f>
        <v>-20.733179409183556</v>
      </c>
      <c r="V4" s="57">
        <f>(SIN(RADIANS(R4))*T4)</f>
        <v>-0.66993103123162867</v>
      </c>
      <c r="W4" s="56">
        <f>((U4*U4)/T4)/100</f>
        <v>0.20722364462658746</v>
      </c>
      <c r="X4" s="144">
        <f>((V4*V4)/T4)/100</f>
        <v>2.1635537341258845E-4</v>
      </c>
      <c r="Y4" s="42">
        <f>((U4+V4)/T4)/100</f>
        <v>-1.0317735461056297E-2</v>
      </c>
      <c r="Z4" s="44">
        <f>Y4*Y4</f>
        <v>1.0645566504433859E-4</v>
      </c>
      <c r="AA4" s="54">
        <f>(((V17*Y17)-(U17*X17)/((W17*X17)-(Z17))))</f>
        <v>-1.1243002764629181E-2</v>
      </c>
      <c r="AB4" s="147">
        <f>((U17*Y17)-(V17*W17)/((W17*X17)-(Z17)))</f>
        <v>3.3963919946487023E-2</v>
      </c>
      <c r="AC4">
        <f>(W4*$AA$4)+(Y4*$AB$4)</f>
        <v>-2.6802467506616043E-3</v>
      </c>
      <c r="AD4">
        <f>((X4*$AB$4)+(Y4*$AA$4))</f>
        <v>1.2335060489594596E-4</v>
      </c>
      <c r="AE4" s="148">
        <f>U4+AC4</f>
        <v>-20.735859655934217</v>
      </c>
      <c r="AF4" s="148">
        <f>V4+AD4</f>
        <v>-0.66980768062673268</v>
      </c>
      <c r="AG4" s="148">
        <f>AG3+AE4</f>
        <v>100114.93014034406</v>
      </c>
      <c r="AH4" s="148">
        <f>AH3+AF4</f>
        <v>101439.85519231937</v>
      </c>
      <c r="AJ4" t="str">
        <f t="shared" ref="AJ4:AJ9" si="0">CONCATENATE(AH4,",",AG4)</f>
        <v>101439.855192319,100114.930140344</v>
      </c>
    </row>
    <row r="5" spans="1:36" x14ac:dyDescent="0.25">
      <c r="A5" s="38" t="s">
        <v>0</v>
      </c>
      <c r="B5" s="38" t="s">
        <v>1</v>
      </c>
      <c r="C5" s="39">
        <v>124</v>
      </c>
      <c r="D5" s="40">
        <v>29</v>
      </c>
      <c r="E5" s="40">
        <v>42</v>
      </c>
      <c r="F5" s="41">
        <f t="shared" ref="F5:F11" si="1">C5+(D5/60)+(E5/3600)</f>
        <v>124.495</v>
      </c>
      <c r="G5" s="42">
        <f t="shared" ref="G5:G10" si="2">$F$24</f>
        <v>4.7619047622252504E-4</v>
      </c>
      <c r="H5" s="43">
        <f>INT(G5)</f>
        <v>0</v>
      </c>
      <c r="I5" s="43">
        <f>INT(G5-H5)*60</f>
        <v>0</v>
      </c>
      <c r="J5" s="44">
        <f>(((G5-H5)*60-I5)*60)</f>
        <v>1.7142857144010901</v>
      </c>
      <c r="K5" s="45">
        <f t="shared" ref="K5:K10" si="3">INT(N5)</f>
        <v>124</v>
      </c>
      <c r="L5" s="45">
        <f t="shared" ref="L5:L10" si="4">INT((N5-K5)*60)</f>
        <v>29</v>
      </c>
      <c r="M5" s="45">
        <f t="shared" ref="M5:M10" si="5">((N5-K5)*60-L5)*60</f>
        <v>40.285714285622589</v>
      </c>
      <c r="N5" s="46">
        <f t="shared" ref="N5:N10" si="6">F5-G5</f>
        <v>124.49452380952378</v>
      </c>
      <c r="O5" s="45">
        <f t="shared" ref="O5:O10" si="7">INT(R5)</f>
        <v>126</v>
      </c>
      <c r="P5" s="43">
        <f t="shared" ref="P5:P10" si="8">INT((R5-O5)*60)</f>
        <v>20</v>
      </c>
      <c r="Q5" s="47">
        <f t="shared" ref="Q5:Q10" si="9">((R5-O5)*60-P5)*60</f>
        <v>42.801428570913913</v>
      </c>
      <c r="R5" s="44">
        <f t="shared" ref="R5:R10" si="10">IF(S5&gt;360,S5-360,S5)</f>
        <v>126.34522261904748</v>
      </c>
      <c r="S5" s="37">
        <f>IF(R4&gt;180,R4-180+N5,R4+180+N5)</f>
        <v>126.34522261904748</v>
      </c>
      <c r="T5" s="2">
        <v>11.606</v>
      </c>
      <c r="U5" s="56">
        <f t="shared" ref="U5:U9" si="11">(COS(RADIANS(R5))*T5)</f>
        <v>-6.8782854581435844</v>
      </c>
      <c r="V5" s="57">
        <f t="shared" ref="V5:V9" si="12">(SIN(RADIANS(R5))*T5)</f>
        <v>9.3481776382507036</v>
      </c>
      <c r="W5" s="56">
        <f t="shared" ref="W5:W9" si="13">((U5*U5)/T5)/100</f>
        <v>4.0764096884119853E-2</v>
      </c>
      <c r="X5" s="144">
        <f t="shared" ref="X5:X9" si="14">((V5*V5)/T5)/100</f>
        <v>7.529590311588015E-2</v>
      </c>
      <c r="Y5" s="42">
        <f t="shared" ref="Y5:Y9" si="15">((U5+V5)/T5)/100</f>
        <v>2.1281166466544195E-3</v>
      </c>
      <c r="Z5" s="44">
        <f t="shared" ref="Z5:Z9" si="16">Y5*Y5</f>
        <v>4.5288804617676508E-6</v>
      </c>
      <c r="AA5" s="145"/>
      <c r="AB5" s="147"/>
      <c r="AC5">
        <f t="shared" ref="AC5:AC9" si="17">(W5*$AA$4)+(Y5*$AB$4)</f>
        <v>-3.8603167054201423E-4</v>
      </c>
      <c r="AD5">
        <f t="shared" ref="AD5:AD9" si="18">((X5*$AB$4)+(Y5*$AA$4))</f>
        <v>2.5334176043844072E-3</v>
      </c>
      <c r="AE5" s="148">
        <f t="shared" ref="AE5:AF9" si="19">U5+AC5</f>
        <v>-6.8786714898141268</v>
      </c>
      <c r="AF5" s="148">
        <f t="shared" si="19"/>
        <v>9.3507110558550881</v>
      </c>
      <c r="AG5" s="148">
        <f t="shared" ref="AG5:AG9" si="20">AG4+AE5</f>
        <v>100108.05146885425</v>
      </c>
      <c r="AH5" s="148">
        <f t="shared" ref="AH5:AH9" si="21">AH4+AF5</f>
        <v>101449.20590337523</v>
      </c>
      <c r="AJ5" t="str">
        <f t="shared" si="0"/>
        <v>101449.205903375,100108.051468854</v>
      </c>
    </row>
    <row r="6" spans="1:36" x14ac:dyDescent="0.25">
      <c r="A6" s="38" t="s">
        <v>1</v>
      </c>
      <c r="B6" s="38" t="s">
        <v>2</v>
      </c>
      <c r="C6" s="39">
        <v>148</v>
      </c>
      <c r="D6" s="40">
        <v>41</v>
      </c>
      <c r="E6" s="40">
        <v>41</v>
      </c>
      <c r="F6" s="41">
        <f t="shared" si="1"/>
        <v>148.69472222222223</v>
      </c>
      <c r="G6" s="42">
        <f t="shared" si="2"/>
        <v>4.7619047622252504E-4</v>
      </c>
      <c r="H6" s="43">
        <f t="shared" ref="H6:H7" si="22">INT(G6)</f>
        <v>0</v>
      </c>
      <c r="I6" s="43">
        <f t="shared" ref="I6:I7" si="23">INT(G6-H6)*60</f>
        <v>0</v>
      </c>
      <c r="J6" s="44">
        <f t="shared" ref="J6:J7" si="24">(((G6-H6)*60-I6)*60)</f>
        <v>1.7142857144010901</v>
      </c>
      <c r="K6" s="45">
        <f t="shared" si="3"/>
        <v>148</v>
      </c>
      <c r="L6" s="45">
        <f t="shared" si="4"/>
        <v>41</v>
      </c>
      <c r="M6" s="45">
        <f t="shared" si="5"/>
        <v>39.285714285565518</v>
      </c>
      <c r="N6" s="46">
        <f t="shared" si="6"/>
        <v>148.69424603174599</v>
      </c>
      <c r="O6" s="45">
        <f t="shared" si="7"/>
        <v>95</v>
      </c>
      <c r="P6" s="43">
        <f t="shared" si="8"/>
        <v>2</v>
      </c>
      <c r="Q6" s="47">
        <f t="shared" si="9"/>
        <v>22.087142856530591</v>
      </c>
      <c r="R6" s="44">
        <f t="shared" si="10"/>
        <v>95.039468650793481</v>
      </c>
      <c r="S6" s="37">
        <f t="shared" ref="S6:S11" si="25">IF(R5&gt;180,R5-180+N6,R5+180+N6)</f>
        <v>455.03946865079348</v>
      </c>
      <c r="T6" s="2">
        <v>12.835000000000001</v>
      </c>
      <c r="U6" s="56">
        <f t="shared" si="11"/>
        <v>-1.1274515387586173</v>
      </c>
      <c r="V6" s="57">
        <f t="shared" si="12"/>
        <v>12.785385329654748</v>
      </c>
      <c r="W6" s="56">
        <f t="shared" si="13"/>
        <v>9.9037551402350881E-4</v>
      </c>
      <c r="X6" s="144">
        <f t="shared" si="14"/>
        <v>0.12735962448597651</v>
      </c>
      <c r="Y6" s="42">
        <f t="shared" si="15"/>
        <v>9.0829246520421729E-3</v>
      </c>
      <c r="Z6" s="44">
        <f t="shared" si="16"/>
        <v>8.2499520234675431E-5</v>
      </c>
      <c r="AA6" s="145"/>
      <c r="AB6" s="147"/>
      <c r="AC6">
        <f t="shared" si="17"/>
        <v>2.9735693111974655E-4</v>
      </c>
      <c r="AD6">
        <f t="shared" si="18"/>
        <v>4.223512743482526E-3</v>
      </c>
      <c r="AE6" s="148">
        <f t="shared" si="19"/>
        <v>-1.1271541818274975</v>
      </c>
      <c r="AF6" s="148">
        <f t="shared" si="19"/>
        <v>12.789608842398231</v>
      </c>
      <c r="AG6" s="148">
        <f t="shared" si="20"/>
        <v>100106.92431467242</v>
      </c>
      <c r="AH6" s="148">
        <f t="shared" si="21"/>
        <v>101461.99551221763</v>
      </c>
      <c r="AJ6" t="str">
        <f t="shared" si="0"/>
        <v>101461.995512218,100106.924314672</v>
      </c>
    </row>
    <row r="7" spans="1:36" x14ac:dyDescent="0.25">
      <c r="A7" s="38" t="s">
        <v>2</v>
      </c>
      <c r="B7" s="38" t="s">
        <v>4</v>
      </c>
      <c r="C7" s="39">
        <v>91</v>
      </c>
      <c r="D7" s="40">
        <v>1</v>
      </c>
      <c r="E7" s="40">
        <v>1</v>
      </c>
      <c r="F7" s="41">
        <f t="shared" si="1"/>
        <v>91.016944444444448</v>
      </c>
      <c r="G7" s="42">
        <f t="shared" si="2"/>
        <v>4.7619047622252504E-4</v>
      </c>
      <c r="H7" s="43">
        <f t="shared" si="22"/>
        <v>0</v>
      </c>
      <c r="I7" s="43">
        <f t="shared" si="23"/>
        <v>0</v>
      </c>
      <c r="J7" s="44">
        <f t="shared" si="24"/>
        <v>1.7142857144010901</v>
      </c>
      <c r="K7" s="45">
        <f t="shared" si="3"/>
        <v>91</v>
      </c>
      <c r="L7" s="45">
        <f t="shared" si="4"/>
        <v>0</v>
      </c>
      <c r="M7" s="45">
        <f t="shared" si="5"/>
        <v>59.285714285618951</v>
      </c>
      <c r="N7" s="46">
        <f t="shared" si="6"/>
        <v>91.016468253968227</v>
      </c>
      <c r="O7" s="45">
        <f t="shared" si="7"/>
        <v>6</v>
      </c>
      <c r="P7" s="43">
        <f t="shared" si="8"/>
        <v>3</v>
      </c>
      <c r="Q7" s="47">
        <f t="shared" si="9"/>
        <v>21.372857142200701</v>
      </c>
      <c r="R7" s="44">
        <f t="shared" si="10"/>
        <v>6.0559369047617224</v>
      </c>
      <c r="S7" s="37">
        <f t="shared" si="25"/>
        <v>366.05593690476172</v>
      </c>
      <c r="T7" s="2">
        <v>36.984999999999999</v>
      </c>
      <c r="U7" s="56">
        <f t="shared" si="11"/>
        <v>36.778600475350757</v>
      </c>
      <c r="V7" s="57">
        <f t="shared" si="12"/>
        <v>3.9018933961000215</v>
      </c>
      <c r="W7" s="56">
        <f t="shared" si="13"/>
        <v>0.36573352789657176</v>
      </c>
      <c r="X7" s="144">
        <f t="shared" si="14"/>
        <v>4.1164721034281353E-3</v>
      </c>
      <c r="Y7" s="42">
        <f t="shared" si="15"/>
        <v>1.0999187203312364E-2</v>
      </c>
      <c r="Z7" s="44">
        <f t="shared" si="16"/>
        <v>1.2098211913351046E-4</v>
      </c>
      <c r="AA7" s="145"/>
      <c r="AB7" s="147"/>
      <c r="AC7">
        <f t="shared" si="17"/>
        <v>-3.7383675516090144E-3</v>
      </c>
      <c r="AD7">
        <f t="shared" si="18"/>
        <v>1.61476368472654E-5</v>
      </c>
      <c r="AE7" s="148">
        <f t="shared" si="19"/>
        <v>36.774862107799144</v>
      </c>
      <c r="AF7" s="148">
        <f t="shared" si="19"/>
        <v>3.9019095437368687</v>
      </c>
      <c r="AG7" s="148">
        <f t="shared" si="20"/>
        <v>100143.69917678022</v>
      </c>
      <c r="AH7" s="148">
        <f t="shared" si="21"/>
        <v>101465.89742176137</v>
      </c>
      <c r="AJ7" t="str">
        <f t="shared" si="0"/>
        <v>101465.897421761,100143.69917678</v>
      </c>
    </row>
    <row r="8" spans="1:36" x14ac:dyDescent="0.25">
      <c r="A8" s="38" t="s">
        <v>4</v>
      </c>
      <c r="B8" s="38" t="s">
        <v>5</v>
      </c>
      <c r="C8" s="48">
        <v>100</v>
      </c>
      <c r="D8" s="49">
        <v>27</v>
      </c>
      <c r="E8" s="49">
        <v>43</v>
      </c>
      <c r="F8" s="41">
        <f t="shared" si="1"/>
        <v>100.46194444444444</v>
      </c>
      <c r="G8" s="42">
        <f t="shared" si="2"/>
        <v>4.7619047622252504E-4</v>
      </c>
      <c r="H8" s="43">
        <f>INT(G8)</f>
        <v>0</v>
      </c>
      <c r="I8" s="43">
        <f>INT(G8-H8)*60</f>
        <v>0</v>
      </c>
      <c r="J8" s="44">
        <f>(((G8-H8)*60-I8)*60)</f>
        <v>1.7142857144010901</v>
      </c>
      <c r="K8" s="45">
        <f t="shared" si="3"/>
        <v>100</v>
      </c>
      <c r="L8" s="45">
        <f t="shared" si="4"/>
        <v>27</v>
      </c>
      <c r="M8" s="45">
        <f t="shared" si="5"/>
        <v>41.285714285594395</v>
      </c>
      <c r="N8" s="46">
        <f t="shared" si="6"/>
        <v>100.46146825396822</v>
      </c>
      <c r="O8" s="45">
        <f t="shared" si="7"/>
        <v>286</v>
      </c>
      <c r="P8" s="43">
        <f t="shared" si="8"/>
        <v>31</v>
      </c>
      <c r="Q8" s="47">
        <f t="shared" si="9"/>
        <v>2.6585714278462547</v>
      </c>
      <c r="R8" s="44">
        <f t="shared" si="10"/>
        <v>286.51740515872996</v>
      </c>
      <c r="S8" s="37">
        <f t="shared" si="25"/>
        <v>286.51740515872996</v>
      </c>
      <c r="T8" s="2">
        <v>18.117000000000001</v>
      </c>
      <c r="U8" s="56">
        <f t="shared" si="11"/>
        <v>5.1507826593495638</v>
      </c>
      <c r="V8" s="57">
        <f t="shared" si="12"/>
        <v>-17.369373247073248</v>
      </c>
      <c r="W8" s="56">
        <f t="shared" si="13"/>
        <v>1.4644015015651688E-2</v>
      </c>
      <c r="X8" s="144">
        <f t="shared" si="14"/>
        <v>0.16652598498434831</v>
      </c>
      <c r="Y8" s="42">
        <f t="shared" si="15"/>
        <v>-6.7442681391641467E-3</v>
      </c>
      <c r="Z8" s="44">
        <f t="shared" si="16"/>
        <v>4.5485152732944621E-5</v>
      </c>
      <c r="AA8" s="145"/>
      <c r="AB8" s="147"/>
      <c r="AC8">
        <f t="shared" si="17"/>
        <v>-3.9370448448245723E-4</v>
      </c>
      <c r="AD8">
        <f t="shared" si="18"/>
        <v>5.7317010483523296E-3</v>
      </c>
      <c r="AE8" s="148">
        <f t="shared" si="19"/>
        <v>5.1503889548650816</v>
      </c>
      <c r="AF8" s="148">
        <f t="shared" si="19"/>
        <v>-17.363641546024898</v>
      </c>
      <c r="AG8" s="148">
        <f t="shared" si="20"/>
        <v>100148.84956573509</v>
      </c>
      <c r="AH8" s="148">
        <f t="shared" si="21"/>
        <v>101448.53378021535</v>
      </c>
      <c r="AJ8" t="str">
        <f t="shared" si="0"/>
        <v>101448.533780215,100148.849565735</v>
      </c>
    </row>
    <row r="9" spans="1:36" x14ac:dyDescent="0.25">
      <c r="A9" s="38" t="s">
        <v>5</v>
      </c>
      <c r="B9" s="38" t="s">
        <v>24</v>
      </c>
      <c r="C9" s="48">
        <v>104</v>
      </c>
      <c r="D9" s="49">
        <v>46</v>
      </c>
      <c r="E9" s="49">
        <v>7</v>
      </c>
      <c r="F9" s="41">
        <f t="shared" si="1"/>
        <v>104.76861111111111</v>
      </c>
      <c r="G9" s="42">
        <f t="shared" si="2"/>
        <v>4.7619047622252504E-4</v>
      </c>
      <c r="H9" s="43">
        <f>INT(G9)</f>
        <v>0</v>
      </c>
      <c r="I9" s="43">
        <f>INT(G9-H9)*60</f>
        <v>0</v>
      </c>
      <c r="J9" s="44">
        <f>(((G9-H9)*60-I9)*60)</f>
        <v>1.7142857144010901</v>
      </c>
      <c r="K9" s="45">
        <f t="shared" si="3"/>
        <v>104</v>
      </c>
      <c r="L9" s="45">
        <f t="shared" si="4"/>
        <v>46</v>
      </c>
      <c r="M9" s="45">
        <f t="shared" si="5"/>
        <v>5.2857142856134942</v>
      </c>
      <c r="N9" s="46">
        <f t="shared" si="6"/>
        <v>104.76813492063489</v>
      </c>
      <c r="O9" s="45">
        <f t="shared" si="7"/>
        <v>211</v>
      </c>
      <c r="P9" s="43">
        <f t="shared" si="8"/>
        <v>17</v>
      </c>
      <c r="Q9" s="47">
        <f t="shared" si="9"/>
        <v>7.944285713510908</v>
      </c>
      <c r="R9" s="44">
        <f t="shared" si="10"/>
        <v>211.28554007936486</v>
      </c>
      <c r="S9" s="37">
        <f t="shared" si="25"/>
        <v>211.28554007936486</v>
      </c>
      <c r="T9" s="2">
        <v>15.425000000000001</v>
      </c>
      <c r="U9" s="56">
        <f t="shared" si="11"/>
        <v>-13.182049448650639</v>
      </c>
      <c r="V9" s="57">
        <f t="shared" si="12"/>
        <v>-8.0102557595453447</v>
      </c>
      <c r="W9" s="56">
        <f t="shared" si="13"/>
        <v>0.11265246526202309</v>
      </c>
      <c r="X9" s="144">
        <f t="shared" si="14"/>
        <v>4.15975347379769E-2</v>
      </c>
      <c r="Y9" s="42">
        <f t="shared" si="15"/>
        <v>-1.3738933684405824E-2</v>
      </c>
      <c r="Z9" s="44">
        <f t="shared" si="16"/>
        <v>1.8875829878450099E-4</v>
      </c>
      <c r="AA9" s="146"/>
      <c r="AB9" s="147"/>
      <c r="AC9">
        <f t="shared" si="17"/>
        <v>-1.7331800221904719E-3</v>
      </c>
      <c r="AD9">
        <f t="shared" si="18"/>
        <v>1.5672822092086922E-3</v>
      </c>
      <c r="AE9" s="148">
        <f t="shared" si="19"/>
        <v>-13.18378262867283</v>
      </c>
      <c r="AF9" s="148">
        <f t="shared" si="19"/>
        <v>-8.0086884773361362</v>
      </c>
      <c r="AG9" s="148">
        <f t="shared" si="20"/>
        <v>100135.66578310641</v>
      </c>
      <c r="AH9" s="148">
        <f t="shared" si="21"/>
        <v>101440.52509173802</v>
      </c>
      <c r="AJ9" t="str">
        <f t="shared" si="0"/>
        <v>101440.525091738,100135.665783106</v>
      </c>
    </row>
    <row r="10" spans="1:36" x14ac:dyDescent="0.25">
      <c r="A10" s="38" t="s">
        <v>24</v>
      </c>
      <c r="B10" s="38" t="s">
        <v>22</v>
      </c>
      <c r="C10" s="48">
        <v>299</v>
      </c>
      <c r="D10" s="49">
        <v>18</v>
      </c>
      <c r="E10" s="49">
        <v>51</v>
      </c>
      <c r="F10" s="41">
        <f t="shared" si="1"/>
        <v>299.31416666666667</v>
      </c>
      <c r="G10" s="42">
        <f t="shared" si="2"/>
        <v>4.7619047622252504E-4</v>
      </c>
      <c r="H10" s="43">
        <f>INT(G10)</f>
        <v>0</v>
      </c>
      <c r="I10" s="43">
        <f>INT(G10-H10)*60</f>
        <v>0</v>
      </c>
      <c r="J10" s="44">
        <f>(((G10-H10)*60-I10)*60)</f>
        <v>1.7142857144010901</v>
      </c>
      <c r="K10" s="45">
        <f t="shared" si="3"/>
        <v>299</v>
      </c>
      <c r="L10" s="45">
        <f t="shared" si="4"/>
        <v>18</v>
      </c>
      <c r="M10" s="45">
        <f t="shared" si="5"/>
        <v>49.28571428565192</v>
      </c>
      <c r="N10" s="46">
        <f t="shared" si="6"/>
        <v>299.31369047619046</v>
      </c>
      <c r="O10" s="45">
        <f t="shared" si="7"/>
        <v>330</v>
      </c>
      <c r="P10" s="43">
        <f t="shared" si="8"/>
        <v>35</v>
      </c>
      <c r="Q10" s="47">
        <f t="shared" si="9"/>
        <v>57.229999999162828</v>
      </c>
      <c r="R10" s="44">
        <f t="shared" si="10"/>
        <v>330.59923055555532</v>
      </c>
      <c r="S10" s="37">
        <f t="shared" si="25"/>
        <v>330.59923055555532</v>
      </c>
      <c r="T10" s="50"/>
      <c r="U10" s="56"/>
      <c r="V10" s="57"/>
      <c r="W10" s="56"/>
      <c r="X10" s="58"/>
      <c r="Y10" s="42"/>
      <c r="Z10" s="44"/>
      <c r="AA10" s="38"/>
    </row>
    <row r="11" spans="1:36" x14ac:dyDescent="0.25">
      <c r="A11" s="38" t="s">
        <v>22</v>
      </c>
      <c r="B11" s="38" t="s">
        <v>23</v>
      </c>
      <c r="C11" s="59"/>
      <c r="D11" s="60"/>
      <c r="E11" s="60"/>
      <c r="F11" s="61"/>
      <c r="G11" s="42"/>
      <c r="H11" s="43"/>
      <c r="I11" s="43"/>
      <c r="J11" s="44"/>
      <c r="K11" s="45"/>
      <c r="L11" s="45"/>
      <c r="M11" s="45"/>
      <c r="N11" s="46"/>
      <c r="O11" s="45"/>
      <c r="P11" s="43"/>
      <c r="Q11" s="47"/>
      <c r="R11" s="44"/>
      <c r="S11" s="37"/>
      <c r="T11" s="62"/>
      <c r="U11" s="39"/>
      <c r="V11" s="63"/>
      <c r="W11" s="56"/>
      <c r="X11" s="58"/>
      <c r="Y11" s="42"/>
      <c r="Z11" s="44"/>
      <c r="AA11" s="38"/>
    </row>
    <row r="12" spans="1:36" x14ac:dyDescent="0.25">
      <c r="A12" s="38"/>
      <c r="B12" s="64"/>
      <c r="C12" s="39"/>
      <c r="D12" s="40"/>
      <c r="E12" s="40"/>
      <c r="F12" s="65"/>
      <c r="G12" s="39"/>
      <c r="H12" s="40"/>
      <c r="I12" s="40"/>
      <c r="J12" s="63"/>
      <c r="K12" s="66"/>
      <c r="L12" s="40"/>
      <c r="M12" s="40"/>
      <c r="N12" s="63"/>
      <c r="O12" s="66"/>
      <c r="P12" s="40"/>
      <c r="Q12" s="40"/>
      <c r="R12" s="63"/>
      <c r="S12" s="67"/>
      <c r="T12" s="64"/>
      <c r="U12" s="39"/>
      <c r="V12" s="63"/>
      <c r="W12" s="39"/>
      <c r="X12" s="65"/>
      <c r="Y12" s="39"/>
      <c r="Z12" s="63"/>
      <c r="AA12" s="64"/>
    </row>
    <row r="13" spans="1:36" x14ac:dyDescent="0.25">
      <c r="A13" s="64"/>
      <c r="B13" s="64"/>
      <c r="C13" s="39"/>
      <c r="D13" s="40"/>
      <c r="E13" s="40"/>
      <c r="F13" s="65"/>
      <c r="G13" s="39"/>
      <c r="H13" s="40"/>
      <c r="I13" s="40"/>
      <c r="J13" s="63"/>
      <c r="K13" s="66"/>
      <c r="L13" s="40"/>
      <c r="M13" s="40"/>
      <c r="N13" s="63"/>
      <c r="O13" s="66"/>
      <c r="P13" s="40"/>
      <c r="Q13" s="40"/>
      <c r="R13" s="63"/>
      <c r="S13" s="67"/>
      <c r="T13" s="64"/>
      <c r="U13" s="39"/>
      <c r="V13" s="63"/>
      <c r="W13" s="39"/>
      <c r="X13" s="65"/>
      <c r="Y13" s="39"/>
      <c r="Z13" s="63"/>
      <c r="AA13" s="64"/>
      <c r="AG13">
        <v>100135.666</v>
      </c>
      <c r="AH13">
        <v>101440.52499999999</v>
      </c>
    </row>
    <row r="14" spans="1:36" x14ac:dyDescent="0.25">
      <c r="A14" s="64"/>
      <c r="B14" s="64"/>
      <c r="C14" s="39"/>
      <c r="D14" s="40"/>
      <c r="E14" s="40"/>
      <c r="F14" s="65"/>
      <c r="G14" s="39"/>
      <c r="H14" s="40"/>
      <c r="I14" s="40"/>
      <c r="J14" s="63"/>
      <c r="K14" s="66"/>
      <c r="L14" s="40"/>
      <c r="M14" s="40"/>
      <c r="N14" s="63"/>
      <c r="O14" s="66"/>
      <c r="P14" s="40"/>
      <c r="Q14" s="40"/>
      <c r="R14" s="63"/>
      <c r="S14" s="67"/>
      <c r="T14" s="64"/>
      <c r="U14" s="39"/>
      <c r="V14" s="63"/>
      <c r="W14" s="39"/>
      <c r="X14" s="65"/>
      <c r="Y14" s="39"/>
      <c r="Z14" s="63"/>
      <c r="AA14" s="64"/>
      <c r="AG14">
        <v>100114.91551276633</v>
      </c>
      <c r="AH14">
        <v>101439.85104983659</v>
      </c>
      <c r="AI14" s="148">
        <f>AG14-AG4</f>
        <v>-1.4627577736973763E-2</v>
      </c>
      <c r="AJ14" s="148">
        <f>AH14-AH4</f>
        <v>-4.1424827795708552E-3</v>
      </c>
    </row>
    <row r="15" spans="1:36" x14ac:dyDescent="0.25">
      <c r="A15" s="64"/>
      <c r="B15" s="64"/>
      <c r="C15" s="39"/>
      <c r="D15" s="40"/>
      <c r="E15" s="40"/>
      <c r="F15" s="65"/>
      <c r="G15" s="39"/>
      <c r="H15" s="40"/>
      <c r="I15" s="40"/>
      <c r="J15" s="63"/>
      <c r="K15" s="66"/>
      <c r="L15" s="40"/>
      <c r="M15" s="40"/>
      <c r="N15" s="63"/>
      <c r="O15" s="66"/>
      <c r="P15" s="40"/>
      <c r="Q15" s="40"/>
      <c r="R15" s="63"/>
      <c r="S15" s="67"/>
      <c r="T15" s="64"/>
      <c r="U15" s="39"/>
      <c r="V15" s="63"/>
      <c r="W15" s="39"/>
      <c r="X15" s="65"/>
      <c r="Y15" s="39"/>
      <c r="Z15" s="63"/>
      <c r="AA15" s="64"/>
      <c r="AG15">
        <v>100108.02754380398</v>
      </c>
      <c r="AH15">
        <v>101449.19697882232</v>
      </c>
      <c r="AI15" s="148">
        <f t="shared" ref="AI15:AJ15" si="26">AG15-AG5</f>
        <v>-2.3925050263642333E-2</v>
      </c>
      <c r="AJ15" s="148">
        <f t="shared" si="26"/>
        <v>-8.9245529088657349E-3</v>
      </c>
    </row>
    <row r="16" spans="1:36" ht="15.75" thickBot="1" x14ac:dyDescent="0.3">
      <c r="A16" s="68"/>
      <c r="B16" s="68"/>
      <c r="C16" s="69"/>
      <c r="D16" s="70"/>
      <c r="E16" s="70"/>
      <c r="F16" s="71"/>
      <c r="G16" s="69"/>
      <c r="H16" s="70"/>
      <c r="I16" s="70"/>
      <c r="J16" s="72"/>
      <c r="K16" s="73"/>
      <c r="L16" s="70"/>
      <c r="M16" s="70"/>
      <c r="N16" s="72"/>
      <c r="O16" s="73"/>
      <c r="P16" s="70"/>
      <c r="Q16" s="70"/>
      <c r="R16" s="72"/>
      <c r="S16" s="74"/>
      <c r="T16" s="68"/>
      <c r="U16" s="69"/>
      <c r="V16" s="72"/>
      <c r="W16" s="69"/>
      <c r="X16" s="71"/>
      <c r="Y16" s="69"/>
      <c r="Z16" s="72"/>
      <c r="AA16" s="75"/>
      <c r="AG16">
        <v>100106.88716643305</v>
      </c>
      <c r="AH16">
        <v>101462.00477589862</v>
      </c>
      <c r="AI16" s="148">
        <f t="shared" ref="AI16:AJ16" si="27">AG16-AG6</f>
        <v>-3.7148239367525093E-2</v>
      </c>
      <c r="AJ16" s="148">
        <f t="shared" si="27"/>
        <v>9.2636809858959168E-3</v>
      </c>
    </row>
    <row r="17" spans="1:36" ht="15.75" thickBot="1" x14ac:dyDescent="0.3">
      <c r="A17" s="76" t="s">
        <v>29</v>
      </c>
      <c r="B17" s="77"/>
      <c r="C17" s="78"/>
      <c r="D17" s="79"/>
      <c r="E17" s="80"/>
      <c r="F17" s="81">
        <f>SUM(F4:F11)</f>
        <v>1080.0033333333336</v>
      </c>
      <c r="G17" s="78"/>
      <c r="H17" s="79"/>
      <c r="I17" s="79"/>
      <c r="J17" s="82"/>
      <c r="K17" s="83"/>
      <c r="L17" s="79"/>
      <c r="M17" s="80"/>
      <c r="N17" s="81">
        <f>SUM(N4:N11)</f>
        <v>1079.9999999999998</v>
      </c>
      <c r="O17" s="83"/>
      <c r="P17" s="79"/>
      <c r="Q17" s="79"/>
      <c r="R17" s="82"/>
      <c r="S17" s="84"/>
      <c r="T17" s="85">
        <f>SUM(T4:T11)</f>
        <v>115.712</v>
      </c>
      <c r="U17" s="86">
        <f>SUM(U4:U11)</f>
        <v>8.4172799639237184E-3</v>
      </c>
      <c r="V17" s="87">
        <f>SUM(V4:V11)</f>
        <v>-1.4103673844751086E-2</v>
      </c>
      <c r="W17" s="87">
        <f>SUM(W4:W11)</f>
        <v>0.74200812519897741</v>
      </c>
      <c r="X17" s="87">
        <f>SUM(X4:X11)</f>
        <v>0.41511187480102263</v>
      </c>
      <c r="Y17" s="87">
        <f t="shared" ref="Y17:Z17" si="28">SUM(Y4:Y11)</f>
        <v>-8.590708782617312E-3</v>
      </c>
      <c r="Z17" s="87">
        <f t="shared" si="28"/>
        <v>5.4870963639173779E-4</v>
      </c>
      <c r="AA17" s="89"/>
      <c r="AG17">
        <v>100143.8226959208</v>
      </c>
      <c r="AH17">
        <v>101465.91940624098</v>
      </c>
      <c r="AI17" s="148">
        <f t="shared" ref="AI17:AJ17" si="29">AG17-AG7</f>
        <v>0.12351914057217073</v>
      </c>
      <c r="AJ17" s="148">
        <f t="shared" si="29"/>
        <v>2.1984479608363472E-2</v>
      </c>
    </row>
    <row r="18" spans="1:3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90" t="s">
        <v>30</v>
      </c>
      <c r="P18" s="91"/>
      <c r="Q18" s="91"/>
      <c r="R18" s="91"/>
      <c r="S18" s="91"/>
      <c r="T18" s="92"/>
      <c r="U18" s="93">
        <f>U17</f>
        <v>8.4172799639237184E-3</v>
      </c>
      <c r="V18" s="94">
        <f>V17</f>
        <v>-1.4103673844751086E-2</v>
      </c>
      <c r="W18" s="95"/>
      <c r="X18" s="1"/>
      <c r="Y18" s="1"/>
      <c r="Z18" s="1"/>
      <c r="AA18" s="1"/>
      <c r="AG18">
        <v>100148.94560635065</v>
      </c>
      <c r="AH18">
        <v>101448.58967456303</v>
      </c>
      <c r="AI18" s="148">
        <f t="shared" ref="AI18:AJ18" si="30">AG18-AG8</f>
        <v>9.6040615564561449E-2</v>
      </c>
      <c r="AJ18" s="148">
        <f t="shared" si="30"/>
        <v>5.5894347678986378E-2</v>
      </c>
    </row>
    <row r="19" spans="1:36" x14ac:dyDescent="0.25">
      <c r="A19" s="96" t="s">
        <v>31</v>
      </c>
      <c r="B19" s="97"/>
      <c r="C19" s="96">
        <v>6</v>
      </c>
      <c r="D19" s="98"/>
      <c r="E19" s="98"/>
      <c r="F19" s="97"/>
      <c r="G19" s="99"/>
      <c r="H19" s="99"/>
      <c r="I19" s="99"/>
      <c r="J19" s="99"/>
      <c r="K19" s="99"/>
      <c r="L19" s="99"/>
      <c r="M19" s="99"/>
      <c r="N19" s="99"/>
      <c r="O19" s="100" t="s">
        <v>32</v>
      </c>
      <c r="P19" s="101"/>
      <c r="Q19" s="101"/>
      <c r="R19" s="101"/>
      <c r="S19" s="101"/>
      <c r="T19" s="102"/>
      <c r="U19" s="103">
        <f>SUM(ABS(U4)+ABS(U5)+ABS(U6)+ABS(U7)+ABS(U8)+ABS(U9)+ABS(U10)+ABS(U11)+ABS(U12)+ABS(U13)+ABS(U14)+ABS(U15)+ABS(U16))</f>
        <v>83.850348989436711</v>
      </c>
      <c r="V19" s="104">
        <f>SUM(ABS(V4)+ABS(V5)+ABS(V6)+ABS(V7)+ABS(V8)+ABS(V9)+ABS(V10)+ABS(V11)+ABS(V12)+ABS(V13)+ABS(V14)+ABS(V15)+ABS(V16))</f>
        <v>52.085016401855697</v>
      </c>
      <c r="W19" s="95"/>
      <c r="X19" s="96"/>
      <c r="Y19" s="98"/>
      <c r="Z19" s="97"/>
      <c r="AA19" s="1"/>
      <c r="AG19">
        <v>100135.666</v>
      </c>
      <c r="AH19">
        <v>101440.52499999999</v>
      </c>
      <c r="AI19" s="148">
        <f t="shared" ref="AI19:AJ19" si="31">AG19-AG9</f>
        <v>2.1689358982257545E-4</v>
      </c>
      <c r="AJ19" s="148">
        <f t="shared" si="31"/>
        <v>-9.1738023911602795E-5</v>
      </c>
    </row>
    <row r="20" spans="1:36" x14ac:dyDescent="0.25">
      <c r="A20" s="105" t="s">
        <v>33</v>
      </c>
      <c r="B20" s="106"/>
      <c r="C20" s="105" t="s">
        <v>34</v>
      </c>
      <c r="D20" s="107"/>
      <c r="E20" s="107"/>
      <c r="F20" s="106"/>
      <c r="G20" s="99"/>
      <c r="H20" s="99"/>
      <c r="I20" s="99"/>
      <c r="J20" s="99"/>
      <c r="K20" s="99"/>
      <c r="L20" s="99"/>
      <c r="M20" s="99"/>
      <c r="N20" s="99"/>
      <c r="O20" s="100" t="s">
        <v>35</v>
      </c>
      <c r="P20" s="101"/>
      <c r="Q20" s="101"/>
      <c r="R20" s="101"/>
      <c r="S20" s="101"/>
      <c r="T20" s="102"/>
      <c r="U20" s="108">
        <f>U18/U19</f>
        <v>1.0038455492873512E-4</v>
      </c>
      <c r="V20" s="109">
        <f>V18/V19</f>
        <v>-2.7078178752860287E-4</v>
      </c>
      <c r="W20" s="110"/>
      <c r="X20" s="39"/>
      <c r="Y20" s="40"/>
      <c r="Z20" s="63"/>
      <c r="AA20" s="1"/>
    </row>
    <row r="21" spans="1:36" ht="15.75" thickBot="1" x14ac:dyDescent="0.3">
      <c r="A21" s="111" t="s">
        <v>37</v>
      </c>
      <c r="B21" s="112"/>
      <c r="C21" s="42">
        <f>INT(F21)</f>
        <v>1080</v>
      </c>
      <c r="D21" s="43">
        <f>INT((F21-C21)*60)</f>
        <v>0</v>
      </c>
      <c r="E21" s="113">
        <f>((F21-C21)*60-D21)*60</f>
        <v>12.000000000807631</v>
      </c>
      <c r="F21" s="44">
        <f>F17</f>
        <v>1080.0033333333336</v>
      </c>
      <c r="G21" s="114"/>
      <c r="H21" s="114"/>
      <c r="I21" s="114"/>
      <c r="J21" s="114"/>
      <c r="K21" s="99"/>
      <c r="L21" s="99"/>
      <c r="M21" s="99"/>
      <c r="N21" s="99"/>
      <c r="O21" s="115" t="s">
        <v>38</v>
      </c>
      <c r="P21" s="116"/>
      <c r="Q21" s="116"/>
      <c r="R21" s="116"/>
      <c r="S21" s="116"/>
      <c r="T21" s="117"/>
      <c r="U21" s="118">
        <f>(SQRT(POWER(U17,2)+POWER(V17,2)))</f>
        <v>1.6424500537617195E-2</v>
      </c>
      <c r="V21" s="119"/>
      <c r="W21" s="95"/>
      <c r="X21" s="39"/>
      <c r="Y21" s="43"/>
      <c r="Z21" s="44"/>
      <c r="AA21" s="1"/>
    </row>
    <row r="22" spans="1:36" ht="15.75" thickBot="1" x14ac:dyDescent="0.3">
      <c r="A22" s="120" t="s">
        <v>39</v>
      </c>
      <c r="B22" s="121"/>
      <c r="C22" s="42">
        <f>INT(F22)</f>
        <v>1080</v>
      </c>
      <c r="D22" s="43">
        <f>INT((F22-C22)*60)</f>
        <v>0</v>
      </c>
      <c r="E22" s="113">
        <f>((F22-C22)*60-D22)*60</f>
        <v>0</v>
      </c>
      <c r="F22" s="44">
        <f>IF(C20="E",(C19+2)*180,((C19-2)*180)+360)</f>
        <v>1080</v>
      </c>
      <c r="G22" s="114"/>
      <c r="H22" s="114"/>
      <c r="I22" s="114"/>
      <c r="J22" s="114"/>
      <c r="K22" s="99"/>
      <c r="L22" s="99"/>
      <c r="M22" s="99"/>
      <c r="N22" s="99"/>
      <c r="O22" s="122" t="s">
        <v>40</v>
      </c>
      <c r="P22" s="123"/>
      <c r="Q22" s="123"/>
      <c r="R22" s="123"/>
      <c r="S22" s="123"/>
      <c r="T22" s="124"/>
      <c r="U22" s="125">
        <f>MROUND(T17/U21,1000)</f>
        <v>7000</v>
      </c>
      <c r="V22" s="126"/>
      <c r="W22" s="127"/>
      <c r="X22" s="128"/>
      <c r="Y22" s="18"/>
      <c r="Z22" s="19"/>
      <c r="AA22" s="1"/>
    </row>
    <row r="23" spans="1:36" x14ac:dyDescent="0.25">
      <c r="A23" s="105" t="s">
        <v>41</v>
      </c>
      <c r="B23" s="106"/>
      <c r="C23" s="129" t="str">
        <f>ROUNDDOWN(F23,0)&amp;"°"&amp;ROUNDDOWN((F23-ROUNDDOWN(F23,0))*60,0)&amp;"'"&amp;(ROUNDDOWN((((F23-ROUNDDOWN(F23,0))*60)-(ROUNDDOWN(((F23-ROUNDDOWN(F23,0))*60),0)))*60,2))&amp;"''"</f>
        <v>0°0'12''</v>
      </c>
      <c r="D23" s="130"/>
      <c r="E23" s="131"/>
      <c r="F23" s="44">
        <f>F21-F22</f>
        <v>3.3333333335576754E-3</v>
      </c>
      <c r="G23" s="114"/>
      <c r="H23" s="114"/>
      <c r="I23" s="114"/>
      <c r="J23" s="114"/>
      <c r="K23" s="99"/>
      <c r="L23" s="99"/>
      <c r="M23" s="99"/>
      <c r="N23" s="99"/>
      <c r="O23" s="1"/>
      <c r="P23" s="1"/>
      <c r="Q23" s="1"/>
      <c r="R23" s="1"/>
      <c r="S23" s="114"/>
      <c r="T23" s="132"/>
      <c r="U23" s="1"/>
      <c r="V23" s="1"/>
      <c r="W23" s="1"/>
      <c r="X23" s="1"/>
      <c r="Y23" s="1"/>
      <c r="Z23" s="1"/>
      <c r="AA23" s="1"/>
    </row>
    <row r="24" spans="1:36" ht="15.75" thickBot="1" x14ac:dyDescent="0.3">
      <c r="A24" s="133" t="s">
        <v>42</v>
      </c>
      <c r="B24" s="134"/>
      <c r="C24" s="135" t="str">
        <f>ROUNDDOWN(F24,0)&amp;"°"&amp;ROUNDDOWN((F24-ROUNDDOWN(F24,0))*60,0)&amp;"'"&amp;(ROUNDDOWN((((F24-ROUNDDOWN(F24,0))*60)-(ROUNDDOWN(((F24-ROUNDDOWN(F24,0))*60),0)))*60,2))&amp;"''"</f>
        <v>0°0'1.71''</v>
      </c>
      <c r="D24" s="136"/>
      <c r="E24" s="137"/>
      <c r="F24" s="19">
        <f>F23/(C19+1)</f>
        <v>4.7619047622252504E-4</v>
      </c>
      <c r="G24" s="114"/>
      <c r="H24" s="114"/>
      <c r="I24" s="114"/>
      <c r="J24" s="114"/>
      <c r="K24" s="99"/>
      <c r="L24" s="99"/>
      <c r="M24" s="99"/>
      <c r="N24" s="99"/>
      <c r="O24" s="1"/>
      <c r="P24" s="1"/>
      <c r="Q24" s="1"/>
      <c r="R24" s="1"/>
      <c r="S24" s="114"/>
      <c r="T24" s="132"/>
      <c r="U24" s="1"/>
      <c r="V24" s="1"/>
      <c r="W24" s="1"/>
      <c r="X24" s="1"/>
      <c r="Y24" s="1"/>
      <c r="Z24" s="1"/>
      <c r="AA24" s="1"/>
    </row>
  </sheetData>
  <mergeCells count="39">
    <mergeCell ref="AC1:AC2"/>
    <mergeCell ref="AD1:AD2"/>
    <mergeCell ref="AE1:AE2"/>
    <mergeCell ref="AF1:AF2"/>
    <mergeCell ref="AA4:AA9"/>
    <mergeCell ref="AB4:AB9"/>
    <mergeCell ref="W1:W2"/>
    <mergeCell ref="X1:X2"/>
    <mergeCell ref="Y1:Y2"/>
    <mergeCell ref="Z1:Z2"/>
    <mergeCell ref="AA1:AA2"/>
    <mergeCell ref="AB1:AB2"/>
    <mergeCell ref="A21:B21"/>
    <mergeCell ref="O21:T21"/>
    <mergeCell ref="A22:B22"/>
    <mergeCell ref="O22:T22"/>
    <mergeCell ref="U22:V22"/>
    <mergeCell ref="A23:B23"/>
    <mergeCell ref="C23:E23"/>
    <mergeCell ref="T23:T24"/>
    <mergeCell ref="A24:B24"/>
    <mergeCell ref="C24:E24"/>
    <mergeCell ref="O18:T18"/>
    <mergeCell ref="A19:B19"/>
    <mergeCell ref="C19:F19"/>
    <mergeCell ref="O19:T19"/>
    <mergeCell ref="X19:Z19"/>
    <mergeCell ref="A20:B20"/>
    <mergeCell ref="C20:F20"/>
    <mergeCell ref="O20:T20"/>
    <mergeCell ref="T1:T2"/>
    <mergeCell ref="U1:V1"/>
    <mergeCell ref="A17:B17"/>
    <mergeCell ref="A1:A2"/>
    <mergeCell ref="B1:B2"/>
    <mergeCell ref="C1:F1"/>
    <mergeCell ref="G1:J1"/>
    <mergeCell ref="K1:N1"/>
    <mergeCell ref="O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7"/>
  <sheetViews>
    <sheetView zoomScale="85" zoomScaleNormal="85" workbookViewId="0">
      <selection activeCell="AE2" sqref="A2:AE27"/>
    </sheetView>
  </sheetViews>
  <sheetFormatPr baseColWidth="10" defaultRowHeight="15" x14ac:dyDescent="0.25"/>
  <cols>
    <col min="24" max="24" width="12.5703125" customWidth="1"/>
  </cols>
  <sheetData>
    <row r="1" spans="1:31" ht="15.75" thickBot="1" x14ac:dyDescent="0.3"/>
    <row r="2" spans="1:31" ht="15.75" thickBot="1" x14ac:dyDescent="0.3">
      <c r="B2" s="151" t="s">
        <v>58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77"/>
    </row>
    <row r="3" spans="1:31" ht="15.75" thickBot="1" x14ac:dyDescent="0.3"/>
    <row r="4" spans="1:31" ht="15.75" thickBot="1" x14ac:dyDescent="0.3">
      <c r="A4" s="6" t="s">
        <v>11</v>
      </c>
      <c r="B4" s="7" t="s">
        <v>12</v>
      </c>
      <c r="C4" s="8" t="s">
        <v>13</v>
      </c>
      <c r="D4" s="9"/>
      <c r="E4" s="9"/>
      <c r="F4" s="10"/>
      <c r="G4" s="11" t="s">
        <v>14</v>
      </c>
      <c r="H4" s="12"/>
      <c r="I4" s="12"/>
      <c r="J4" s="13"/>
      <c r="K4" s="8" t="s">
        <v>15</v>
      </c>
      <c r="L4" s="9"/>
      <c r="M4" s="9"/>
      <c r="N4" s="10"/>
      <c r="O4" s="9" t="s">
        <v>7</v>
      </c>
      <c r="P4" s="9"/>
      <c r="Q4" s="9"/>
      <c r="R4" s="9"/>
      <c r="S4" s="10"/>
      <c r="T4" s="14" t="s">
        <v>16</v>
      </c>
      <c r="U4" s="11" t="s">
        <v>8</v>
      </c>
      <c r="V4" s="13"/>
      <c r="W4" s="8" t="s">
        <v>53</v>
      </c>
      <c r="X4" s="10"/>
      <c r="Y4" s="11" t="s">
        <v>59</v>
      </c>
      <c r="Z4" s="13"/>
      <c r="AA4" s="11" t="s">
        <v>25</v>
      </c>
      <c r="AB4" s="13"/>
      <c r="AC4" s="138" t="s">
        <v>26</v>
      </c>
      <c r="AD4" s="140"/>
      <c r="AE4" s="14" t="s">
        <v>12</v>
      </c>
    </row>
    <row r="5" spans="1:31" ht="15.75" thickBot="1" x14ac:dyDescent="0.3">
      <c r="A5" s="15"/>
      <c r="B5" s="16"/>
      <c r="C5" s="17" t="s">
        <v>17</v>
      </c>
      <c r="D5" s="18" t="s">
        <v>18</v>
      </c>
      <c r="E5" s="18" t="s">
        <v>19</v>
      </c>
      <c r="F5" s="19" t="s">
        <v>20</v>
      </c>
      <c r="G5" s="17" t="s">
        <v>21</v>
      </c>
      <c r="H5" s="20" t="s">
        <v>17</v>
      </c>
      <c r="I5" s="20" t="s">
        <v>18</v>
      </c>
      <c r="J5" s="21" t="s">
        <v>19</v>
      </c>
      <c r="K5" s="22" t="s">
        <v>17</v>
      </c>
      <c r="L5" s="23" t="s">
        <v>18</v>
      </c>
      <c r="M5" s="23" t="s">
        <v>19</v>
      </c>
      <c r="N5" s="24" t="s">
        <v>21</v>
      </c>
      <c r="O5" s="25" t="s">
        <v>17</v>
      </c>
      <c r="P5" s="18" t="s">
        <v>18</v>
      </c>
      <c r="Q5" s="18" t="s">
        <v>19</v>
      </c>
      <c r="R5" s="19" t="s">
        <v>21</v>
      </c>
      <c r="S5" s="23" t="s">
        <v>21</v>
      </c>
      <c r="T5" s="26"/>
      <c r="U5" s="17" t="s">
        <v>27</v>
      </c>
      <c r="V5" s="19" t="s">
        <v>28</v>
      </c>
      <c r="W5" s="23" t="s">
        <v>54</v>
      </c>
      <c r="X5" s="23" t="s">
        <v>55</v>
      </c>
      <c r="Y5" s="17" t="s">
        <v>49</v>
      </c>
      <c r="Z5" s="19" t="s">
        <v>50</v>
      </c>
      <c r="AA5" s="152" t="s">
        <v>56</v>
      </c>
      <c r="AB5" s="153" t="s">
        <v>57</v>
      </c>
      <c r="AC5" s="154" t="s">
        <v>9</v>
      </c>
      <c r="AD5" s="155" t="s">
        <v>10</v>
      </c>
      <c r="AE5" s="54"/>
    </row>
    <row r="6" spans="1:31" ht="15.75" thickBot="1" x14ac:dyDescent="0.3">
      <c r="A6" s="27"/>
      <c r="B6" s="27" t="s">
        <v>3</v>
      </c>
      <c r="C6" s="28">
        <v>0</v>
      </c>
      <c r="D6" s="29">
        <v>0</v>
      </c>
      <c r="E6" s="29">
        <v>0</v>
      </c>
      <c r="F6" s="30"/>
      <c r="G6" s="31"/>
      <c r="H6" s="32"/>
      <c r="I6" s="32"/>
      <c r="J6" s="33"/>
      <c r="K6" s="34"/>
      <c r="L6" s="34"/>
      <c r="M6" s="34"/>
      <c r="N6" s="35"/>
      <c r="O6" s="3">
        <v>330</v>
      </c>
      <c r="P6" s="4">
        <v>35</v>
      </c>
      <c r="Q6" s="5">
        <v>57.23</v>
      </c>
      <c r="R6" s="36">
        <f>O6+(P6/60)+(Q6/3600)</f>
        <v>330.59923055555555</v>
      </c>
      <c r="S6" s="37"/>
      <c r="T6" s="27"/>
      <c r="U6" s="31"/>
      <c r="V6" s="33"/>
      <c r="W6" s="51"/>
      <c r="X6" s="51"/>
      <c r="Y6" s="31"/>
      <c r="Z6" s="55"/>
      <c r="AA6" s="114"/>
      <c r="AB6" s="114"/>
      <c r="AC6">
        <v>100135.666</v>
      </c>
      <c r="AD6">
        <v>101440.52499999999</v>
      </c>
      <c r="AE6" s="27" t="s">
        <v>6</v>
      </c>
    </row>
    <row r="7" spans="1:31" x14ac:dyDescent="0.25">
      <c r="A7" s="27" t="s">
        <v>6</v>
      </c>
      <c r="B7" s="38" t="s">
        <v>0</v>
      </c>
      <c r="C7" s="39">
        <v>211</v>
      </c>
      <c r="D7" s="40">
        <v>15</v>
      </c>
      <c r="E7" s="40">
        <v>7</v>
      </c>
      <c r="F7" s="41">
        <f>C7+(D7/60)+(E7/3600)</f>
        <v>211.25194444444443</v>
      </c>
      <c r="G7" s="42">
        <f>$F$27</f>
        <v>4.7619047622252504E-4</v>
      </c>
      <c r="H7" s="43">
        <f>INT(G7)</f>
        <v>0</v>
      </c>
      <c r="I7" s="43">
        <f>INT(G7-H7)*60</f>
        <v>0</v>
      </c>
      <c r="J7" s="44">
        <f>(((G7-H7)*60-I7)*60)</f>
        <v>1.7142857144010901</v>
      </c>
      <c r="K7" s="45">
        <f>INT(N7)</f>
        <v>211</v>
      </c>
      <c r="L7" s="45">
        <f>INT((N7-K7)*60)</f>
        <v>15</v>
      </c>
      <c r="M7" s="45">
        <f>((N7-K7)*60-L7)*60</f>
        <v>5.2857142855145867</v>
      </c>
      <c r="N7" s="46">
        <f>F7-G7</f>
        <v>211.2514682539682</v>
      </c>
      <c r="O7" s="45">
        <f>INT(R7)</f>
        <v>181</v>
      </c>
      <c r="P7" s="43">
        <f>INT((R7-O7)*60)</f>
        <v>51</v>
      </c>
      <c r="Q7" s="47">
        <f>((R7-O7)*60-P7)*60</f>
        <v>2.5157142852913239</v>
      </c>
      <c r="R7" s="44">
        <f>IF(S7&gt;360,S7-360,S7)</f>
        <v>181.85069880952369</v>
      </c>
      <c r="S7" s="37">
        <f>R6+N7</f>
        <v>541.85069880952369</v>
      </c>
      <c r="T7" s="2">
        <v>20.744</v>
      </c>
      <c r="U7" s="56">
        <f>(COS(RADIANS(R7))*T7)</f>
        <v>-20.733179409183556</v>
      </c>
      <c r="V7" s="57">
        <f>(SIN(RADIANS(R7))*T7)</f>
        <v>-0.66993103123162867</v>
      </c>
      <c r="W7" s="149">
        <f>ABS(U7)</f>
        <v>20.733179409183556</v>
      </c>
      <c r="X7" s="149">
        <f>ABS(V7)</f>
        <v>0.66993103123162867</v>
      </c>
      <c r="Y7" s="56">
        <f>($U$20/$W$20)*U7</f>
        <v>-2.0812909872485064E-3</v>
      </c>
      <c r="Z7" s="58">
        <f>($V$20/$X$20)*V7</f>
        <v>1.8140512215778068E-4</v>
      </c>
      <c r="AA7" s="149">
        <f>U7-Y7</f>
        <v>-20.731098118196307</v>
      </c>
      <c r="AB7" s="149">
        <f>V7-Z7</f>
        <v>-0.67011243635378648</v>
      </c>
      <c r="AC7" s="56">
        <f>AC6+AA7</f>
        <v>100114.9349018818</v>
      </c>
      <c r="AD7" s="57">
        <f>AD6+AB7</f>
        <v>101439.85488756363</v>
      </c>
      <c r="AE7" s="38" t="str">
        <f t="shared" ref="AE7:AE13" si="0">A8</f>
        <v>D1</v>
      </c>
    </row>
    <row r="8" spans="1:31" x14ac:dyDescent="0.25">
      <c r="A8" s="38" t="s">
        <v>0</v>
      </c>
      <c r="B8" s="38" t="s">
        <v>1</v>
      </c>
      <c r="C8" s="39">
        <v>124</v>
      </c>
      <c r="D8" s="40">
        <v>29</v>
      </c>
      <c r="E8" s="40">
        <v>42</v>
      </c>
      <c r="F8" s="41">
        <f t="shared" ref="F8:F14" si="1">C8+(D8/60)+(E8/3600)</f>
        <v>124.495</v>
      </c>
      <c r="G8" s="42">
        <f t="shared" ref="G8:G13" si="2">$F$27</f>
        <v>4.7619047622252504E-4</v>
      </c>
      <c r="H8" s="43">
        <f>INT(G8)</f>
        <v>0</v>
      </c>
      <c r="I8" s="43">
        <f>INT(G8-H8)*60</f>
        <v>0</v>
      </c>
      <c r="J8" s="44">
        <f>(((G8-H8)*60-I8)*60)</f>
        <v>1.7142857144010901</v>
      </c>
      <c r="K8" s="45">
        <f t="shared" ref="K8:K13" si="3">INT(N8)</f>
        <v>124</v>
      </c>
      <c r="L8" s="45">
        <f t="shared" ref="L8:L13" si="4">INT((N8-K8)*60)</f>
        <v>29</v>
      </c>
      <c r="M8" s="45">
        <f t="shared" ref="M8:M13" si="5">((N8-K8)*60-L8)*60</f>
        <v>40.285714285622589</v>
      </c>
      <c r="N8" s="46">
        <f t="shared" ref="N8:N13" si="6">F8-G8</f>
        <v>124.49452380952378</v>
      </c>
      <c r="O8" s="45">
        <f t="shared" ref="O8:O13" si="7">INT(R8)</f>
        <v>126</v>
      </c>
      <c r="P8" s="43">
        <f t="shared" ref="P8:P13" si="8">INT((R8-O8)*60)</f>
        <v>20</v>
      </c>
      <c r="Q8" s="47">
        <f t="shared" ref="Q8:Q13" si="9">((R8-O8)*60-P8)*60</f>
        <v>42.801428570913913</v>
      </c>
      <c r="R8" s="44">
        <f t="shared" ref="R8:R13" si="10">IF(S8&gt;360,S8-360,S8)</f>
        <v>126.34522261904748</v>
      </c>
      <c r="S8" s="37">
        <f>IF(R7&gt;180,R7-180+N8,R7+180+N8)</f>
        <v>126.34522261904748</v>
      </c>
      <c r="T8" s="2">
        <v>11.606</v>
      </c>
      <c r="U8" s="56">
        <f t="shared" ref="U8:U12" si="11">(COS(RADIANS(R8))*T8)</f>
        <v>-6.8782854581435844</v>
      </c>
      <c r="V8" s="57">
        <f t="shared" ref="V8:V12" si="12">(SIN(RADIANS(R8))*T8)</f>
        <v>9.3481776382507036</v>
      </c>
      <c r="W8" s="149">
        <f t="shared" ref="W8:W12" si="13">ABS(U8)</f>
        <v>6.8782854581435844</v>
      </c>
      <c r="X8" s="149">
        <f t="shared" ref="X8:X12" si="14">ABS(V8)</f>
        <v>9.3481776382507036</v>
      </c>
      <c r="Y8" s="56">
        <f t="shared" ref="Y8:Y12" si="15">($U$20/$W$20)*U8</f>
        <v>-6.9047362438853462E-4</v>
      </c>
      <c r="Z8" s="58">
        <f t="shared" ref="Z8:Z12" si="16">($V$20/$X$20)*V8</f>
        <v>-2.5313162510204384E-3</v>
      </c>
      <c r="AA8" s="149">
        <f t="shared" ref="AA8:AA12" si="17">U8-Y8</f>
        <v>-6.8775949845191962</v>
      </c>
      <c r="AB8" s="149">
        <f t="shared" ref="AB8:AB12" si="18">V8-Z8</f>
        <v>9.3507089545017248</v>
      </c>
      <c r="AC8" s="56">
        <f t="shared" ref="AC8:AC12" si="19">AC7+AA8</f>
        <v>100108.05730689729</v>
      </c>
      <c r="AD8" s="57">
        <f t="shared" ref="AD8:AD12" si="20">AD7+AB8</f>
        <v>101449.20559651814</v>
      </c>
      <c r="AE8" s="38" t="str">
        <f t="shared" si="0"/>
        <v>D2</v>
      </c>
    </row>
    <row r="9" spans="1:31" x14ac:dyDescent="0.25">
      <c r="A9" s="38" t="s">
        <v>1</v>
      </c>
      <c r="B9" s="38" t="s">
        <v>2</v>
      </c>
      <c r="C9" s="39">
        <v>148</v>
      </c>
      <c r="D9" s="40">
        <v>41</v>
      </c>
      <c r="E9" s="40">
        <v>41</v>
      </c>
      <c r="F9" s="41">
        <f t="shared" si="1"/>
        <v>148.69472222222223</v>
      </c>
      <c r="G9" s="42">
        <f t="shared" si="2"/>
        <v>4.7619047622252504E-4</v>
      </c>
      <c r="H9" s="43">
        <f t="shared" ref="H9:H10" si="21">INT(G9)</f>
        <v>0</v>
      </c>
      <c r="I9" s="43">
        <f t="shared" ref="I9:I10" si="22">INT(G9-H9)*60</f>
        <v>0</v>
      </c>
      <c r="J9" s="44">
        <f t="shared" ref="J9:J10" si="23">(((G9-H9)*60-I9)*60)</f>
        <v>1.7142857144010901</v>
      </c>
      <c r="K9" s="45">
        <f t="shared" si="3"/>
        <v>148</v>
      </c>
      <c r="L9" s="45">
        <f t="shared" si="4"/>
        <v>41</v>
      </c>
      <c r="M9" s="45">
        <f t="shared" si="5"/>
        <v>39.285714285565518</v>
      </c>
      <c r="N9" s="46">
        <f t="shared" si="6"/>
        <v>148.69424603174599</v>
      </c>
      <c r="O9" s="45">
        <f t="shared" si="7"/>
        <v>95</v>
      </c>
      <c r="P9" s="43">
        <f t="shared" si="8"/>
        <v>2</v>
      </c>
      <c r="Q9" s="47">
        <f t="shared" si="9"/>
        <v>22.087142856530591</v>
      </c>
      <c r="R9" s="44">
        <f t="shared" si="10"/>
        <v>95.039468650793481</v>
      </c>
      <c r="S9" s="37">
        <f t="shared" ref="S9:S14" si="24">IF(R8&gt;180,R8-180+N9,R8+180+N9)</f>
        <v>455.03946865079348</v>
      </c>
      <c r="T9" s="2">
        <v>12.835000000000001</v>
      </c>
      <c r="U9" s="56">
        <f t="shared" si="11"/>
        <v>-1.1274515387586173</v>
      </c>
      <c r="V9" s="57">
        <f t="shared" si="12"/>
        <v>12.785385329654748</v>
      </c>
      <c r="W9" s="149">
        <f t="shared" si="13"/>
        <v>1.1274515387586173</v>
      </c>
      <c r="X9" s="149">
        <f t="shared" si="14"/>
        <v>12.785385329654748</v>
      </c>
      <c r="Y9" s="56">
        <f t="shared" si="15"/>
        <v>-1.1317872092200134E-4</v>
      </c>
      <c r="Z9" s="58">
        <f t="shared" si="16"/>
        <v>-3.4620494938058881E-3</v>
      </c>
      <c r="AA9" s="149">
        <f t="shared" si="17"/>
        <v>-1.1273383600376952</v>
      </c>
      <c r="AB9" s="149">
        <f t="shared" si="18"/>
        <v>12.788847379148553</v>
      </c>
      <c r="AC9" s="56">
        <f t="shared" si="19"/>
        <v>100106.92996853725</v>
      </c>
      <c r="AD9" s="57">
        <f t="shared" si="20"/>
        <v>101461.99444389729</v>
      </c>
      <c r="AE9" s="38" t="str">
        <f t="shared" si="0"/>
        <v>D3</v>
      </c>
    </row>
    <row r="10" spans="1:31" x14ac:dyDescent="0.25">
      <c r="A10" s="38" t="s">
        <v>2</v>
      </c>
      <c r="B10" s="38" t="s">
        <v>4</v>
      </c>
      <c r="C10" s="39">
        <v>91</v>
      </c>
      <c r="D10" s="40">
        <v>1</v>
      </c>
      <c r="E10" s="40">
        <v>1</v>
      </c>
      <c r="F10" s="41">
        <f t="shared" si="1"/>
        <v>91.016944444444448</v>
      </c>
      <c r="G10" s="42">
        <f t="shared" si="2"/>
        <v>4.7619047622252504E-4</v>
      </c>
      <c r="H10" s="43">
        <f t="shared" si="21"/>
        <v>0</v>
      </c>
      <c r="I10" s="43">
        <f t="shared" si="22"/>
        <v>0</v>
      </c>
      <c r="J10" s="44">
        <f t="shared" si="23"/>
        <v>1.7142857144010901</v>
      </c>
      <c r="K10" s="45">
        <f t="shared" si="3"/>
        <v>91</v>
      </c>
      <c r="L10" s="45">
        <f t="shared" si="4"/>
        <v>0</v>
      </c>
      <c r="M10" s="45">
        <f t="shared" si="5"/>
        <v>59.285714285618951</v>
      </c>
      <c r="N10" s="46">
        <f t="shared" si="6"/>
        <v>91.016468253968227</v>
      </c>
      <c r="O10" s="45">
        <f t="shared" si="7"/>
        <v>6</v>
      </c>
      <c r="P10" s="43">
        <f t="shared" si="8"/>
        <v>3</v>
      </c>
      <c r="Q10" s="47">
        <f t="shared" si="9"/>
        <v>21.372857142200701</v>
      </c>
      <c r="R10" s="44">
        <f t="shared" si="10"/>
        <v>6.0559369047617224</v>
      </c>
      <c r="S10" s="37">
        <f t="shared" si="24"/>
        <v>366.05593690476172</v>
      </c>
      <c r="T10" s="2">
        <v>36.984999999999999</v>
      </c>
      <c r="U10" s="56">
        <f t="shared" si="11"/>
        <v>36.778600475350757</v>
      </c>
      <c r="V10" s="57">
        <f t="shared" si="12"/>
        <v>3.9018933961000215</v>
      </c>
      <c r="W10" s="149">
        <f t="shared" si="13"/>
        <v>36.778600475350757</v>
      </c>
      <c r="X10" s="149">
        <f t="shared" si="14"/>
        <v>3.9018933961000215</v>
      </c>
      <c r="Y10" s="56">
        <f t="shared" si="15"/>
        <v>3.6920034396198515E-3</v>
      </c>
      <c r="Z10" s="58">
        <f t="shared" si="16"/>
        <v>-1.0565616685420146E-3</v>
      </c>
      <c r="AA10" s="149">
        <f t="shared" si="17"/>
        <v>36.774908471911139</v>
      </c>
      <c r="AB10" s="149">
        <f t="shared" si="18"/>
        <v>3.9029499577685636</v>
      </c>
      <c r="AC10" s="56">
        <f t="shared" si="19"/>
        <v>100143.70487700916</v>
      </c>
      <c r="AD10" s="57">
        <f t="shared" si="20"/>
        <v>101465.89739385506</v>
      </c>
      <c r="AE10" s="38" t="str">
        <f t="shared" si="0"/>
        <v>D4</v>
      </c>
    </row>
    <row r="11" spans="1:31" x14ac:dyDescent="0.25">
      <c r="A11" s="38" t="s">
        <v>4</v>
      </c>
      <c r="B11" s="38" t="s">
        <v>5</v>
      </c>
      <c r="C11" s="48">
        <v>100</v>
      </c>
      <c r="D11" s="49">
        <v>27</v>
      </c>
      <c r="E11" s="49">
        <v>43</v>
      </c>
      <c r="F11" s="41">
        <f t="shared" si="1"/>
        <v>100.46194444444444</v>
      </c>
      <c r="G11" s="42">
        <f t="shared" si="2"/>
        <v>4.7619047622252504E-4</v>
      </c>
      <c r="H11" s="43">
        <f>INT(G11)</f>
        <v>0</v>
      </c>
      <c r="I11" s="43">
        <f>INT(G11-H11)*60</f>
        <v>0</v>
      </c>
      <c r="J11" s="44">
        <f>(((G11-H11)*60-I11)*60)</f>
        <v>1.7142857144010901</v>
      </c>
      <c r="K11" s="45">
        <f t="shared" si="3"/>
        <v>100</v>
      </c>
      <c r="L11" s="45">
        <f t="shared" si="4"/>
        <v>27</v>
      </c>
      <c r="M11" s="45">
        <f t="shared" si="5"/>
        <v>41.285714285594395</v>
      </c>
      <c r="N11" s="46">
        <f t="shared" si="6"/>
        <v>100.46146825396822</v>
      </c>
      <c r="O11" s="45">
        <f t="shared" si="7"/>
        <v>286</v>
      </c>
      <c r="P11" s="43">
        <f t="shared" si="8"/>
        <v>31</v>
      </c>
      <c r="Q11" s="47">
        <f t="shared" si="9"/>
        <v>2.6585714278462547</v>
      </c>
      <c r="R11" s="44">
        <f t="shared" si="10"/>
        <v>286.51740515872996</v>
      </c>
      <c r="S11" s="37">
        <f t="shared" si="24"/>
        <v>286.51740515872996</v>
      </c>
      <c r="T11" s="2">
        <v>18.117000000000001</v>
      </c>
      <c r="U11" s="56">
        <f t="shared" si="11"/>
        <v>5.1507826593495638</v>
      </c>
      <c r="V11" s="57">
        <f t="shared" si="12"/>
        <v>-17.369373247073248</v>
      </c>
      <c r="W11" s="149">
        <f t="shared" si="13"/>
        <v>5.1507826593495638</v>
      </c>
      <c r="X11" s="149">
        <f t="shared" si="14"/>
        <v>17.369373247073248</v>
      </c>
      <c r="Y11" s="56">
        <f t="shared" si="15"/>
        <v>5.1705902479345261E-4</v>
      </c>
      <c r="Z11" s="58">
        <f t="shared" si="16"/>
        <v>4.7033099360939872E-3</v>
      </c>
      <c r="AA11" s="149">
        <f t="shared" si="17"/>
        <v>5.1502656003247704</v>
      </c>
      <c r="AB11" s="149">
        <f t="shared" si="18"/>
        <v>-17.374076557009342</v>
      </c>
      <c r="AC11" s="56">
        <f t="shared" si="19"/>
        <v>100148.85514260949</v>
      </c>
      <c r="AD11" s="57">
        <f t="shared" si="20"/>
        <v>101448.52331729805</v>
      </c>
      <c r="AE11" s="38" t="str">
        <f t="shared" si="0"/>
        <v>D5</v>
      </c>
    </row>
    <row r="12" spans="1:31" x14ac:dyDescent="0.25">
      <c r="A12" s="38" t="s">
        <v>5</v>
      </c>
      <c r="B12" s="38" t="s">
        <v>6</v>
      </c>
      <c r="C12" s="48">
        <v>104</v>
      </c>
      <c r="D12" s="49">
        <v>46</v>
      </c>
      <c r="E12" s="49">
        <v>7</v>
      </c>
      <c r="F12" s="41">
        <f t="shared" si="1"/>
        <v>104.76861111111111</v>
      </c>
      <c r="G12" s="42">
        <f t="shared" si="2"/>
        <v>4.7619047622252504E-4</v>
      </c>
      <c r="H12" s="43">
        <f>INT(G12)</f>
        <v>0</v>
      </c>
      <c r="I12" s="43">
        <f>INT(G12-H12)*60</f>
        <v>0</v>
      </c>
      <c r="J12" s="44">
        <f>(((G12-H12)*60-I12)*60)</f>
        <v>1.7142857144010901</v>
      </c>
      <c r="K12" s="45">
        <f t="shared" si="3"/>
        <v>104</v>
      </c>
      <c r="L12" s="45">
        <f t="shared" si="4"/>
        <v>46</v>
      </c>
      <c r="M12" s="45">
        <f t="shared" si="5"/>
        <v>5.2857142856134942</v>
      </c>
      <c r="N12" s="46">
        <f t="shared" si="6"/>
        <v>104.76813492063489</v>
      </c>
      <c r="O12" s="45">
        <f t="shared" si="7"/>
        <v>211</v>
      </c>
      <c r="P12" s="43">
        <f t="shared" si="8"/>
        <v>17</v>
      </c>
      <c r="Q12" s="47">
        <f t="shared" si="9"/>
        <v>7.944285713510908</v>
      </c>
      <c r="R12" s="44">
        <f t="shared" si="10"/>
        <v>211.28554007936486</v>
      </c>
      <c r="S12" s="37">
        <f t="shared" si="24"/>
        <v>211.28554007936486</v>
      </c>
      <c r="T12" s="2">
        <v>15.425000000000001</v>
      </c>
      <c r="U12" s="56">
        <f t="shared" si="11"/>
        <v>-13.182049448650639</v>
      </c>
      <c r="V12" s="57">
        <f t="shared" si="12"/>
        <v>-8.0102557595453447</v>
      </c>
      <c r="W12" s="149">
        <f t="shared" si="13"/>
        <v>13.182049448650639</v>
      </c>
      <c r="X12" s="149">
        <f t="shared" si="14"/>
        <v>8.0102557595453447</v>
      </c>
      <c r="Y12" s="56">
        <f t="shared" si="15"/>
        <v>-1.3232741669513726E-3</v>
      </c>
      <c r="Z12" s="58">
        <f t="shared" si="16"/>
        <v>2.169031373130975E-3</v>
      </c>
      <c r="AA12" s="149">
        <f t="shared" si="17"/>
        <v>-13.180726174483688</v>
      </c>
      <c r="AB12" s="149">
        <f t="shared" si="18"/>
        <v>-8.0124247909184749</v>
      </c>
      <c r="AC12" s="56">
        <f t="shared" si="19"/>
        <v>100135.67441643501</v>
      </c>
      <c r="AD12" s="57">
        <f t="shared" si="20"/>
        <v>101440.51089250714</v>
      </c>
      <c r="AE12" s="38" t="s">
        <v>6</v>
      </c>
    </row>
    <row r="13" spans="1:31" x14ac:dyDescent="0.25">
      <c r="A13" s="38" t="s">
        <v>6</v>
      </c>
      <c r="B13" s="38" t="s">
        <v>3</v>
      </c>
      <c r="C13" s="48">
        <v>299</v>
      </c>
      <c r="D13" s="49">
        <v>18</v>
      </c>
      <c r="E13" s="49">
        <v>51</v>
      </c>
      <c r="F13" s="41">
        <f t="shared" si="1"/>
        <v>299.31416666666667</v>
      </c>
      <c r="G13" s="42">
        <f t="shared" si="2"/>
        <v>4.7619047622252504E-4</v>
      </c>
      <c r="H13" s="43">
        <f>INT(G13)</f>
        <v>0</v>
      </c>
      <c r="I13" s="43">
        <f>INT(G13-H13)*60</f>
        <v>0</v>
      </c>
      <c r="J13" s="44">
        <f>(((G13-H13)*60-I13)*60)</f>
        <v>1.7142857144010901</v>
      </c>
      <c r="K13" s="45">
        <f t="shared" si="3"/>
        <v>299</v>
      </c>
      <c r="L13" s="45">
        <f t="shared" si="4"/>
        <v>18</v>
      </c>
      <c r="M13" s="45">
        <f t="shared" si="5"/>
        <v>49.28571428565192</v>
      </c>
      <c r="N13" s="46">
        <f t="shared" si="6"/>
        <v>299.31369047619046</v>
      </c>
      <c r="O13" s="45">
        <f t="shared" si="7"/>
        <v>330</v>
      </c>
      <c r="P13" s="43">
        <f t="shared" si="8"/>
        <v>35</v>
      </c>
      <c r="Q13" s="47">
        <f t="shared" si="9"/>
        <v>57.229999999162828</v>
      </c>
      <c r="R13" s="44">
        <f t="shared" si="10"/>
        <v>330.59923055555532</v>
      </c>
      <c r="S13" s="37">
        <f t="shared" si="24"/>
        <v>330.59923055555532</v>
      </c>
      <c r="T13" s="50"/>
      <c r="U13" s="56"/>
      <c r="V13" s="57"/>
      <c r="W13" s="149"/>
      <c r="X13" s="149"/>
      <c r="Y13" s="56"/>
      <c r="Z13" s="58"/>
      <c r="AA13" s="149"/>
      <c r="AB13" s="149"/>
      <c r="AC13" s="42"/>
      <c r="AD13" s="44"/>
      <c r="AE13" s="38"/>
    </row>
    <row r="14" spans="1:31" x14ac:dyDescent="0.25">
      <c r="A14" s="38"/>
      <c r="B14" s="38"/>
      <c r="C14" s="59"/>
      <c r="D14" s="60"/>
      <c r="E14" s="60"/>
      <c r="F14" s="61"/>
      <c r="G14" s="42"/>
      <c r="H14" s="43"/>
      <c r="I14" s="43"/>
      <c r="J14" s="44"/>
      <c r="K14" s="45"/>
      <c r="L14" s="45"/>
      <c r="M14" s="45"/>
      <c r="N14" s="46"/>
      <c r="O14" s="45"/>
      <c r="P14" s="43"/>
      <c r="Q14" s="47"/>
      <c r="R14" s="44"/>
      <c r="S14" s="37"/>
      <c r="T14" s="62"/>
      <c r="U14" s="39"/>
      <c r="V14" s="63"/>
      <c r="W14" s="67"/>
      <c r="X14" s="67"/>
      <c r="Y14" s="56"/>
      <c r="Z14" s="58"/>
      <c r="AA14" s="149"/>
      <c r="AB14" s="149"/>
      <c r="AC14" s="42"/>
      <c r="AD14" s="44"/>
      <c r="AE14" s="38"/>
    </row>
    <row r="15" spans="1:31" x14ac:dyDescent="0.25">
      <c r="A15" s="38"/>
      <c r="B15" s="64"/>
      <c r="C15" s="39"/>
      <c r="D15" s="40"/>
      <c r="E15" s="40"/>
      <c r="F15" s="65"/>
      <c r="G15" s="39"/>
      <c r="H15" s="40"/>
      <c r="I15" s="40"/>
      <c r="J15" s="63"/>
      <c r="K15" s="66"/>
      <c r="L15" s="40"/>
      <c r="M15" s="40"/>
      <c r="N15" s="63"/>
      <c r="O15" s="66"/>
      <c r="P15" s="40"/>
      <c r="Q15" s="40"/>
      <c r="R15" s="63"/>
      <c r="S15" s="67"/>
      <c r="T15" s="64"/>
      <c r="U15" s="39"/>
      <c r="V15" s="63"/>
      <c r="W15" s="67"/>
      <c r="X15" s="67"/>
      <c r="Y15" s="39"/>
      <c r="Z15" s="65"/>
      <c r="AA15" s="67"/>
      <c r="AB15" s="67"/>
      <c r="AC15" s="39"/>
      <c r="AD15" s="63"/>
      <c r="AE15" s="64"/>
    </row>
    <row r="16" spans="1:31" x14ac:dyDescent="0.25">
      <c r="A16" s="64"/>
      <c r="B16" s="64"/>
      <c r="C16" s="39"/>
      <c r="D16" s="40"/>
      <c r="E16" s="40"/>
      <c r="F16" s="65"/>
      <c r="G16" s="39"/>
      <c r="H16" s="40"/>
      <c r="I16" s="40"/>
      <c r="J16" s="63"/>
      <c r="K16" s="66"/>
      <c r="L16" s="40"/>
      <c r="M16" s="40"/>
      <c r="N16" s="63"/>
      <c r="O16" s="66"/>
      <c r="P16" s="40"/>
      <c r="Q16" s="40"/>
      <c r="R16" s="63"/>
      <c r="S16" s="67"/>
      <c r="T16" s="64"/>
      <c r="U16" s="39"/>
      <c r="V16" s="63"/>
      <c r="W16" s="67"/>
      <c r="X16" s="67"/>
      <c r="Y16" s="39"/>
      <c r="Z16" s="65"/>
      <c r="AA16" s="67"/>
      <c r="AB16" s="67"/>
      <c r="AC16" s="39"/>
      <c r="AD16" s="63"/>
      <c r="AE16" s="64"/>
    </row>
    <row r="17" spans="1:31" x14ac:dyDescent="0.25">
      <c r="A17" s="64"/>
      <c r="B17" s="64"/>
      <c r="C17" s="39"/>
      <c r="D17" s="40"/>
      <c r="E17" s="40"/>
      <c r="F17" s="65"/>
      <c r="G17" s="39"/>
      <c r="H17" s="40"/>
      <c r="I17" s="40"/>
      <c r="J17" s="63"/>
      <c r="K17" s="66"/>
      <c r="L17" s="40"/>
      <c r="M17" s="40"/>
      <c r="N17" s="63"/>
      <c r="O17" s="66"/>
      <c r="P17" s="40"/>
      <c r="Q17" s="40"/>
      <c r="R17" s="63"/>
      <c r="S17" s="67"/>
      <c r="T17" s="64"/>
      <c r="U17" s="39"/>
      <c r="V17" s="63"/>
      <c r="W17" s="67"/>
      <c r="X17" s="67"/>
      <c r="Y17" s="39"/>
      <c r="Z17" s="65"/>
      <c r="AA17" s="67"/>
      <c r="AB17" s="67"/>
      <c r="AC17" s="39"/>
      <c r="AD17" s="63"/>
      <c r="AE17" s="64"/>
    </row>
    <row r="18" spans="1:31" x14ac:dyDescent="0.25">
      <c r="A18" s="64"/>
      <c r="B18" s="64"/>
      <c r="C18" s="39"/>
      <c r="D18" s="40"/>
      <c r="E18" s="40"/>
      <c r="F18" s="65"/>
      <c r="G18" s="39"/>
      <c r="H18" s="40"/>
      <c r="I18" s="40"/>
      <c r="J18" s="63"/>
      <c r="K18" s="66"/>
      <c r="L18" s="40"/>
      <c r="M18" s="40"/>
      <c r="N18" s="63"/>
      <c r="O18" s="66"/>
      <c r="P18" s="40"/>
      <c r="Q18" s="40"/>
      <c r="R18" s="63"/>
      <c r="S18" s="67"/>
      <c r="T18" s="64"/>
      <c r="U18" s="39"/>
      <c r="V18" s="63"/>
      <c r="W18" s="67"/>
      <c r="X18" s="67"/>
      <c r="Y18" s="39"/>
      <c r="Z18" s="65"/>
      <c r="AA18" s="67"/>
      <c r="AB18" s="67"/>
      <c r="AC18" s="39"/>
      <c r="AD18" s="63"/>
      <c r="AE18" s="64"/>
    </row>
    <row r="19" spans="1:31" ht="15.75" thickBot="1" x14ac:dyDescent="0.3">
      <c r="A19" s="68"/>
      <c r="B19" s="68"/>
      <c r="C19" s="69"/>
      <c r="D19" s="70"/>
      <c r="E19" s="70"/>
      <c r="F19" s="71"/>
      <c r="G19" s="69"/>
      <c r="H19" s="70"/>
      <c r="I19" s="70"/>
      <c r="J19" s="72"/>
      <c r="K19" s="73"/>
      <c r="L19" s="70"/>
      <c r="M19" s="70"/>
      <c r="N19" s="72"/>
      <c r="O19" s="73"/>
      <c r="P19" s="70"/>
      <c r="Q19" s="70"/>
      <c r="R19" s="72"/>
      <c r="S19" s="74"/>
      <c r="T19" s="68"/>
      <c r="U19" s="69"/>
      <c r="V19" s="72"/>
      <c r="W19" s="74"/>
      <c r="X19" s="74"/>
      <c r="Y19" s="69"/>
      <c r="Z19" s="71"/>
      <c r="AA19" s="74"/>
      <c r="AB19" s="74"/>
      <c r="AC19" s="69"/>
      <c r="AD19" s="72"/>
      <c r="AE19" s="75"/>
    </row>
    <row r="20" spans="1:31" ht="15.75" thickBot="1" x14ac:dyDescent="0.3">
      <c r="A20" s="76" t="s">
        <v>29</v>
      </c>
      <c r="B20" s="77"/>
      <c r="C20" s="78"/>
      <c r="D20" s="79"/>
      <c r="E20" s="80"/>
      <c r="F20" s="81">
        <f>SUM(F7:F14)</f>
        <v>1080.0033333333336</v>
      </c>
      <c r="G20" s="78"/>
      <c r="H20" s="79"/>
      <c r="I20" s="79"/>
      <c r="J20" s="82"/>
      <c r="K20" s="83"/>
      <c r="L20" s="79"/>
      <c r="M20" s="80"/>
      <c r="N20" s="81">
        <f>SUM(N7:N14)</f>
        <v>1079.9999999999998</v>
      </c>
      <c r="O20" s="83"/>
      <c r="P20" s="79"/>
      <c r="Q20" s="79"/>
      <c r="R20" s="82"/>
      <c r="S20" s="84"/>
      <c r="T20" s="85">
        <f>SUM(T7:T14)</f>
        <v>115.712</v>
      </c>
      <c r="U20" s="86">
        <f>SUM(U7:U14)</f>
        <v>8.4172799639237184E-3</v>
      </c>
      <c r="V20" s="87">
        <f>SUM(V7:V14)</f>
        <v>-1.4103673844751086E-2</v>
      </c>
      <c r="W20" s="87">
        <f t="shared" ref="W20:X20" si="25">SUM(W7:W14)</f>
        <v>83.850348989436711</v>
      </c>
      <c r="X20" s="87">
        <f t="shared" si="25"/>
        <v>52.085016401855697</v>
      </c>
      <c r="Y20" s="86">
        <f>SUM(Y7:Y14)</f>
        <v>8.4496490288963819E-7</v>
      </c>
      <c r="Z20" s="88">
        <f>SUM(Z7:Z14)</f>
        <v>3.8190180144019939E-6</v>
      </c>
      <c r="AA20" s="88"/>
      <c r="AB20" s="88"/>
      <c r="AC20" s="78"/>
      <c r="AD20" s="82"/>
      <c r="AE20" s="89"/>
    </row>
    <row r="21" spans="1:31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0" t="s">
        <v>30</v>
      </c>
      <c r="P21" s="91"/>
      <c r="Q21" s="91"/>
      <c r="R21" s="91"/>
      <c r="S21" s="91"/>
      <c r="T21" s="92"/>
      <c r="U21" s="93">
        <f>U20</f>
        <v>8.4172799639237184E-3</v>
      </c>
      <c r="V21" s="94">
        <f>V20</f>
        <v>-1.4103673844751086E-2</v>
      </c>
      <c r="W21" s="95"/>
      <c r="X21" s="95"/>
      <c r="Y21" s="95"/>
      <c r="Z21" s="1"/>
      <c r="AA21" s="1"/>
      <c r="AB21" s="1"/>
      <c r="AC21" s="1"/>
      <c r="AD21" s="1"/>
      <c r="AE21" s="1"/>
    </row>
    <row r="22" spans="1:31" ht="15.75" thickBot="1" x14ac:dyDescent="0.3">
      <c r="A22" s="96" t="s">
        <v>31</v>
      </c>
      <c r="B22" s="97"/>
      <c r="C22" s="96">
        <v>6</v>
      </c>
      <c r="D22" s="98"/>
      <c r="E22" s="98"/>
      <c r="F22" s="97"/>
      <c r="G22" s="99"/>
      <c r="H22" s="99"/>
      <c r="I22" s="99"/>
      <c r="J22" s="99"/>
      <c r="K22" s="99"/>
      <c r="L22" s="99"/>
      <c r="M22" s="99"/>
      <c r="N22" s="99"/>
      <c r="O22" s="100" t="s">
        <v>32</v>
      </c>
      <c r="P22" s="101"/>
      <c r="Q22" s="101"/>
      <c r="R22" s="101"/>
      <c r="S22" s="101"/>
      <c r="T22" s="102"/>
      <c r="U22" s="103">
        <f>SUM(ABS(U7)+ABS(U8)+ABS(U9)+ABS(U10)+ABS(U11)+ABS(U12)+ABS(U13)+ABS(U14)+ABS(U15)+ABS(U16)+ABS(U17)+ABS(U18)+ABS(U19))</f>
        <v>83.850348989436711</v>
      </c>
      <c r="V22" s="104">
        <f>SUM(ABS(V7)+ABS(V8)+ABS(V9)+ABS(V10)+ABS(V11)+ABS(V12)+ABS(V13)+ABS(V14)+ABS(V15)+ABS(V16)+ABS(V17)+ABS(V18)+ABS(V19))</f>
        <v>52.085016401855697</v>
      </c>
      <c r="W22" s="95"/>
      <c r="X22" s="95"/>
      <c r="Y22" s="95"/>
      <c r="Z22" s="76" t="s">
        <v>26</v>
      </c>
      <c r="AA22" s="150"/>
      <c r="AB22" s="77"/>
      <c r="AC22" s="157"/>
      <c r="AD22" s="157"/>
      <c r="AE22" s="1"/>
    </row>
    <row r="23" spans="1:31" x14ac:dyDescent="0.25">
      <c r="A23" s="105" t="s">
        <v>33</v>
      </c>
      <c r="B23" s="106"/>
      <c r="C23" s="105" t="s">
        <v>34</v>
      </c>
      <c r="D23" s="107"/>
      <c r="E23" s="107"/>
      <c r="F23" s="106"/>
      <c r="G23" s="99"/>
      <c r="H23" s="99"/>
      <c r="I23" s="99"/>
      <c r="J23" s="99"/>
      <c r="K23" s="99"/>
      <c r="L23" s="99"/>
      <c r="M23" s="99"/>
      <c r="N23" s="99"/>
      <c r="O23" s="100" t="s">
        <v>35</v>
      </c>
      <c r="P23" s="101"/>
      <c r="Q23" s="101"/>
      <c r="R23" s="101"/>
      <c r="S23" s="101"/>
      <c r="T23" s="102"/>
      <c r="U23" s="108">
        <f>U21/U22</f>
        <v>1.0038455492873512E-4</v>
      </c>
      <c r="V23" s="109">
        <f>V21/V22</f>
        <v>-2.7078178752860287E-4</v>
      </c>
      <c r="W23" s="110"/>
      <c r="X23" s="110"/>
      <c r="Y23" s="110"/>
      <c r="Z23" s="59" t="s">
        <v>36</v>
      </c>
      <c r="AA23" s="60" t="s">
        <v>9</v>
      </c>
      <c r="AB23" s="156" t="s">
        <v>10</v>
      </c>
      <c r="AE23" s="1"/>
    </row>
    <row r="24" spans="1:31" ht="15.75" thickBot="1" x14ac:dyDescent="0.3">
      <c r="A24" s="111" t="s">
        <v>37</v>
      </c>
      <c r="B24" s="112"/>
      <c r="C24" s="42">
        <f>INT(F24)</f>
        <v>1080</v>
      </c>
      <c r="D24" s="43">
        <f>INT((F24-C24)*60)</f>
        <v>0</v>
      </c>
      <c r="E24" s="113">
        <f>((F24-C24)*60-D24)*60</f>
        <v>12.000000000807631</v>
      </c>
      <c r="F24" s="44">
        <f>F20</f>
        <v>1080.0033333333336</v>
      </c>
      <c r="G24" s="114"/>
      <c r="H24" s="114"/>
      <c r="I24" s="114"/>
      <c r="J24" s="114"/>
      <c r="K24" s="99"/>
      <c r="L24" s="99"/>
      <c r="M24" s="99"/>
      <c r="N24" s="99"/>
      <c r="O24" s="115" t="s">
        <v>38</v>
      </c>
      <c r="P24" s="116"/>
      <c r="Q24" s="116"/>
      <c r="R24" s="116"/>
      <c r="S24" s="116"/>
      <c r="T24" s="117"/>
      <c r="U24" s="118">
        <f>(SQRT(POWER(U20,2)+POWER(V20,2)))</f>
        <v>1.6424500537617195E-2</v>
      </c>
      <c r="V24" s="119"/>
      <c r="W24" s="95"/>
      <c r="X24" s="95"/>
      <c r="Y24" s="95"/>
      <c r="Z24" s="39" t="s">
        <v>23</v>
      </c>
      <c r="AA24" s="43">
        <v>100299.31600000001</v>
      </c>
      <c r="AB24" s="44">
        <v>101340.277</v>
      </c>
      <c r="AE24" s="1"/>
    </row>
    <row r="25" spans="1:31" ht="15.75" thickBot="1" x14ac:dyDescent="0.3">
      <c r="A25" s="120" t="s">
        <v>39</v>
      </c>
      <c r="B25" s="121"/>
      <c r="C25" s="42">
        <f>INT(F25)</f>
        <v>1080</v>
      </c>
      <c r="D25" s="43">
        <f>INT((F25-C25)*60)</f>
        <v>0</v>
      </c>
      <c r="E25" s="113">
        <f>((F25-C25)*60-D25)*60</f>
        <v>0</v>
      </c>
      <c r="F25" s="44">
        <f>IF(C23="E",(C22+2)*180,((C22-2)*180)+360)</f>
        <v>1080</v>
      </c>
      <c r="G25" s="114"/>
      <c r="H25" s="114"/>
      <c r="I25" s="114"/>
      <c r="J25" s="114"/>
      <c r="K25" s="99"/>
      <c r="L25" s="99"/>
      <c r="M25" s="99"/>
      <c r="N25" s="99"/>
      <c r="O25" s="122" t="s">
        <v>40</v>
      </c>
      <c r="P25" s="123"/>
      <c r="Q25" s="123"/>
      <c r="R25" s="123"/>
      <c r="S25" s="123"/>
      <c r="T25" s="124"/>
      <c r="U25" s="125">
        <f>MROUND(T20/U24,1000)</f>
        <v>7000</v>
      </c>
      <c r="V25" s="126"/>
      <c r="W25" s="127"/>
      <c r="X25" s="127"/>
      <c r="Y25" s="127"/>
      <c r="Z25" s="128" t="s">
        <v>22</v>
      </c>
      <c r="AA25" s="18">
        <v>100320.33199999999</v>
      </c>
      <c r="AB25" s="19">
        <v>101342.85400000001</v>
      </c>
      <c r="AE25" s="1"/>
    </row>
    <row r="26" spans="1:31" x14ac:dyDescent="0.25">
      <c r="A26" s="105" t="s">
        <v>41</v>
      </c>
      <c r="B26" s="106"/>
      <c r="C26" s="129" t="str">
        <f>ROUNDDOWN(F26,0)&amp;"°"&amp;ROUNDDOWN((F26-ROUNDDOWN(F26,0))*60,0)&amp;"'"&amp;(ROUNDDOWN((((F26-ROUNDDOWN(F26,0))*60)-(ROUNDDOWN(((F26-ROUNDDOWN(F26,0))*60),0)))*60,2))&amp;"''"</f>
        <v>0°0'12''</v>
      </c>
      <c r="D26" s="130"/>
      <c r="E26" s="131"/>
      <c r="F26" s="44">
        <f>F24-F25</f>
        <v>3.3333333335576754E-3</v>
      </c>
      <c r="G26" s="114"/>
      <c r="H26" s="114"/>
      <c r="I26" s="114"/>
      <c r="J26" s="114"/>
      <c r="K26" s="99"/>
      <c r="L26" s="99"/>
      <c r="M26" s="99"/>
      <c r="N26" s="99"/>
      <c r="O26" s="1"/>
      <c r="P26" s="1"/>
      <c r="Q26" s="1"/>
      <c r="R26" s="1"/>
      <c r="S26" s="114"/>
      <c r="T26" s="132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thickBot="1" x14ac:dyDescent="0.3">
      <c r="A27" s="133" t="s">
        <v>42</v>
      </c>
      <c r="B27" s="134"/>
      <c r="C27" s="135" t="str">
        <f>ROUNDDOWN(F27,0)&amp;"°"&amp;ROUNDDOWN((F27-ROUNDDOWN(F27,0))*60,0)&amp;"'"&amp;(ROUNDDOWN((((F27-ROUNDDOWN(F27,0))*60)-(ROUNDDOWN(((F27-ROUNDDOWN(F27,0))*60),0)))*60,2))&amp;"''"</f>
        <v>0°0'1.71''</v>
      </c>
      <c r="D27" s="136"/>
      <c r="E27" s="137"/>
      <c r="F27" s="19">
        <f>F26/(C22+1)</f>
        <v>4.7619047622252504E-4</v>
      </c>
      <c r="G27" s="114"/>
      <c r="H27" s="114"/>
      <c r="I27" s="114"/>
      <c r="J27" s="114"/>
      <c r="K27" s="99"/>
      <c r="L27" s="99"/>
      <c r="M27" s="99"/>
      <c r="N27" s="99"/>
      <c r="O27" s="1"/>
      <c r="P27" s="1"/>
      <c r="Q27" s="1"/>
      <c r="R27" s="1"/>
      <c r="S27" s="114"/>
      <c r="T27" s="132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</sheetData>
  <mergeCells count="33">
    <mergeCell ref="B2:AD2"/>
    <mergeCell ref="Z22:AB22"/>
    <mergeCell ref="A24:B24"/>
    <mergeCell ref="O24:T24"/>
    <mergeCell ref="A25:B25"/>
    <mergeCell ref="O25:T25"/>
    <mergeCell ref="U25:V25"/>
    <mergeCell ref="A26:B26"/>
    <mergeCell ref="C26:E26"/>
    <mergeCell ref="T26:T27"/>
    <mergeCell ref="A27:B27"/>
    <mergeCell ref="C27:E27"/>
    <mergeCell ref="O21:T21"/>
    <mergeCell ref="A22:B22"/>
    <mergeCell ref="C22:F22"/>
    <mergeCell ref="O22:T22"/>
    <mergeCell ref="A23:B23"/>
    <mergeCell ref="C23:F23"/>
    <mergeCell ref="O23:T23"/>
    <mergeCell ref="T4:T5"/>
    <mergeCell ref="U4:V4"/>
    <mergeCell ref="Y4:Z4"/>
    <mergeCell ref="AC4:AD4"/>
    <mergeCell ref="AE4:AE5"/>
    <mergeCell ref="A20:B20"/>
    <mergeCell ref="W4:X4"/>
    <mergeCell ref="AA4:AB4"/>
    <mergeCell ref="A4:A5"/>
    <mergeCell ref="B4:B5"/>
    <mergeCell ref="C4:F4"/>
    <mergeCell ref="G4:J4"/>
    <mergeCell ref="K4:N4"/>
    <mergeCell ref="O4:S4"/>
  </mergeCells>
  <pageMargins left="0.7" right="0.7" top="0.75" bottom="0.75" header="0.3" footer="0.3"/>
  <pageSetup paperSize="9" scale="36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tabSelected="1" topLeftCell="D1" zoomScale="70" zoomScaleNormal="70" workbookViewId="0">
      <selection activeCell="N18" sqref="N18"/>
    </sheetView>
  </sheetViews>
  <sheetFormatPr baseColWidth="10" defaultRowHeight="15" x14ac:dyDescent="0.25"/>
  <sheetData>
    <row r="1" spans="1:28" ht="15.75" thickBot="1" x14ac:dyDescent="0.3"/>
    <row r="2" spans="1:28" ht="15.75" thickBot="1" x14ac:dyDescent="0.3">
      <c r="B2" s="158" t="s">
        <v>60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60"/>
    </row>
    <row r="3" spans="1:28" ht="15.75" thickBot="1" x14ac:dyDescent="0.3"/>
    <row r="4" spans="1:28" x14ac:dyDescent="0.25">
      <c r="A4" s="6" t="s">
        <v>11</v>
      </c>
      <c r="B4" s="7" t="s">
        <v>12</v>
      </c>
      <c r="C4" s="8" t="s">
        <v>13</v>
      </c>
      <c r="D4" s="9"/>
      <c r="E4" s="9"/>
      <c r="F4" s="10"/>
      <c r="G4" s="11" t="s">
        <v>14</v>
      </c>
      <c r="H4" s="12"/>
      <c r="I4" s="12"/>
      <c r="J4" s="13"/>
      <c r="K4" s="8" t="s">
        <v>15</v>
      </c>
      <c r="L4" s="9"/>
      <c r="M4" s="9"/>
      <c r="N4" s="10"/>
      <c r="O4" s="9" t="s">
        <v>7</v>
      </c>
      <c r="P4" s="9"/>
      <c r="Q4" s="9"/>
      <c r="R4" s="9"/>
      <c r="S4" s="10"/>
      <c r="T4" s="14" t="s">
        <v>16</v>
      </c>
      <c r="U4" s="11" t="s">
        <v>8</v>
      </c>
      <c r="V4" s="13"/>
      <c r="W4" s="11" t="s">
        <v>25</v>
      </c>
      <c r="X4" s="13"/>
      <c r="Y4" s="11" t="s">
        <v>26</v>
      </c>
      <c r="Z4" s="13"/>
      <c r="AA4" s="14" t="s">
        <v>12</v>
      </c>
    </row>
    <row r="5" spans="1:28" ht="15.75" thickBot="1" x14ac:dyDescent="0.3">
      <c r="A5" s="15"/>
      <c r="B5" s="16"/>
      <c r="C5" s="17" t="s">
        <v>17</v>
      </c>
      <c r="D5" s="18" t="s">
        <v>18</v>
      </c>
      <c r="E5" s="18" t="s">
        <v>19</v>
      </c>
      <c r="F5" s="19" t="s">
        <v>20</v>
      </c>
      <c r="G5" s="17" t="s">
        <v>21</v>
      </c>
      <c r="H5" s="20" t="s">
        <v>17</v>
      </c>
      <c r="I5" s="20" t="s">
        <v>18</v>
      </c>
      <c r="J5" s="21" t="s">
        <v>19</v>
      </c>
      <c r="K5" s="22" t="s">
        <v>17</v>
      </c>
      <c r="L5" s="23" t="s">
        <v>18</v>
      </c>
      <c r="M5" s="23" t="s">
        <v>19</v>
      </c>
      <c r="N5" s="24" t="s">
        <v>21</v>
      </c>
      <c r="O5" s="25" t="s">
        <v>17</v>
      </c>
      <c r="P5" s="18" t="s">
        <v>18</v>
      </c>
      <c r="Q5" s="18" t="s">
        <v>19</v>
      </c>
      <c r="R5" s="19" t="s">
        <v>21</v>
      </c>
      <c r="S5" s="23" t="s">
        <v>21</v>
      </c>
      <c r="T5" s="26"/>
      <c r="U5" s="17" t="s">
        <v>27</v>
      </c>
      <c r="V5" s="19" t="s">
        <v>28</v>
      </c>
      <c r="W5" s="17" t="s">
        <v>27</v>
      </c>
      <c r="X5" s="19" t="s">
        <v>28</v>
      </c>
      <c r="Y5" s="52" t="s">
        <v>9</v>
      </c>
      <c r="Z5" s="53" t="s">
        <v>10</v>
      </c>
      <c r="AA5" s="54"/>
    </row>
    <row r="6" spans="1:28" ht="15.75" thickBot="1" x14ac:dyDescent="0.3">
      <c r="A6" s="27"/>
      <c r="B6" s="27" t="s">
        <v>3</v>
      </c>
      <c r="C6" s="28">
        <v>0</v>
      </c>
      <c r="D6" s="29">
        <v>0</v>
      </c>
      <c r="E6" s="29">
        <v>0</v>
      </c>
      <c r="F6" s="30"/>
      <c r="G6" s="31"/>
      <c r="H6" s="32"/>
      <c r="I6" s="32"/>
      <c r="J6" s="33"/>
      <c r="K6" s="34"/>
      <c r="L6" s="34"/>
      <c r="M6" s="34"/>
      <c r="N6" s="35"/>
      <c r="O6" s="3">
        <v>330</v>
      </c>
      <c r="P6" s="4">
        <v>35</v>
      </c>
      <c r="Q6" s="5">
        <v>57.23</v>
      </c>
      <c r="R6" s="36">
        <f>O6+(P6/60)+(Q6/3600)</f>
        <v>330.59923055555555</v>
      </c>
      <c r="S6" s="37"/>
      <c r="T6" s="27"/>
      <c r="U6" s="31"/>
      <c r="V6" s="33"/>
      <c r="W6" s="31"/>
      <c r="X6" s="55"/>
      <c r="Y6" s="148">
        <v>100135.666</v>
      </c>
      <c r="Z6" s="148">
        <v>101440.52499999999</v>
      </c>
      <c r="AA6" s="27" t="s">
        <v>6</v>
      </c>
      <c r="AB6" s="114"/>
    </row>
    <row r="7" spans="1:28" x14ac:dyDescent="0.25">
      <c r="A7" s="27" t="s">
        <v>6</v>
      </c>
      <c r="B7" s="38" t="s">
        <v>0</v>
      </c>
      <c r="C7" s="39">
        <v>211</v>
      </c>
      <c r="D7" s="40">
        <v>15</v>
      </c>
      <c r="E7" s="40">
        <v>7</v>
      </c>
      <c r="F7" s="41">
        <f>C7+(D7/60)+(E7/3600)</f>
        <v>211.25194444444443</v>
      </c>
      <c r="G7" s="42">
        <f>$F$27</f>
        <v>4.7619047622252504E-4</v>
      </c>
      <c r="H7" s="43">
        <f>INT(G7)</f>
        <v>0</v>
      </c>
      <c r="I7" s="43">
        <f>INT(G7-H7)*60</f>
        <v>0</v>
      </c>
      <c r="J7" s="44">
        <f>(((G7-H7)*60-I7)*60)</f>
        <v>1.7142857144010901</v>
      </c>
      <c r="K7" s="45">
        <f>INT(N7)</f>
        <v>211</v>
      </c>
      <c r="L7" s="45">
        <f>INT((N7-K7)*60)</f>
        <v>15</v>
      </c>
      <c r="M7" s="45">
        <f>((N7-K7)*60-L7)*60</f>
        <v>5.2857142855145867</v>
      </c>
      <c r="N7" s="46">
        <f>F7-G7</f>
        <v>211.2514682539682</v>
      </c>
      <c r="O7" s="45">
        <f>INT(R7)</f>
        <v>181</v>
      </c>
      <c r="P7" s="43">
        <f>INT((R7-O7)*60)</f>
        <v>51</v>
      </c>
      <c r="Q7" s="47">
        <f>((R7-O7)*60-P7)*60</f>
        <v>2.5157142852913239</v>
      </c>
      <c r="R7" s="44">
        <f>IF(S7&gt;360,S7-360,S7)</f>
        <v>181.85069880952369</v>
      </c>
      <c r="S7" s="37">
        <f>R6+N7</f>
        <v>541.85069880952369</v>
      </c>
      <c r="T7" s="2">
        <v>20.744</v>
      </c>
      <c r="U7" s="56">
        <f>(COS(RADIANS(R7))*T7)</f>
        <v>-20.733179409183556</v>
      </c>
      <c r="V7" s="57">
        <f>(SIN(RADIANS(R7))*T7)</f>
        <v>-0.66993103123162867</v>
      </c>
      <c r="W7" s="56">
        <f>((-($U$20/$T$20)*T7)+U7)</f>
        <v>-20.734688397495674</v>
      </c>
      <c r="X7" s="58">
        <f>((-($V$20/$T$20)*T7)+V7)</f>
        <v>-0.66740262786607008</v>
      </c>
      <c r="Y7" s="56">
        <f>Y6+W7</f>
        <v>100114.9313116025</v>
      </c>
      <c r="Z7" s="57">
        <f t="shared" ref="Z7:Z12" si="0">Z6+X7</f>
        <v>101439.85759737213</v>
      </c>
      <c r="AA7" s="38" t="str">
        <f t="shared" ref="AA7:AA13" si="1">A8</f>
        <v>D1</v>
      </c>
      <c r="AB7" s="114"/>
    </row>
    <row r="8" spans="1:28" x14ac:dyDescent="0.25">
      <c r="A8" s="38" t="s">
        <v>0</v>
      </c>
      <c r="B8" s="38" t="s">
        <v>1</v>
      </c>
      <c r="C8" s="39">
        <v>124</v>
      </c>
      <c r="D8" s="40">
        <v>29</v>
      </c>
      <c r="E8" s="40">
        <v>42</v>
      </c>
      <c r="F8" s="41">
        <f t="shared" ref="F8:F14" si="2">C8+(D8/60)+(E8/3600)</f>
        <v>124.495</v>
      </c>
      <c r="G8" s="42">
        <f t="shared" ref="G8:G13" si="3">$F$27</f>
        <v>4.7619047622252504E-4</v>
      </c>
      <c r="H8" s="43">
        <f>INT(G8)</f>
        <v>0</v>
      </c>
      <c r="I8" s="43">
        <f>INT(G8-H8)*60</f>
        <v>0</v>
      </c>
      <c r="J8" s="44">
        <f>(((G8-H8)*60-I8)*60)</f>
        <v>1.7142857144010901</v>
      </c>
      <c r="K8" s="45">
        <f t="shared" ref="K8:K13" si="4">INT(N8)</f>
        <v>124</v>
      </c>
      <c r="L8" s="45">
        <f t="shared" ref="L8:L13" si="5">INT((N8-K8)*60)</f>
        <v>29</v>
      </c>
      <c r="M8" s="45">
        <f t="shared" ref="M8:M13" si="6">((N8-K8)*60-L8)*60</f>
        <v>40.285714285622589</v>
      </c>
      <c r="N8" s="46">
        <f t="shared" ref="N8:N13" si="7">F8-G8</f>
        <v>124.49452380952378</v>
      </c>
      <c r="O8" s="45">
        <f t="shared" ref="O8:O13" si="8">INT(R8)</f>
        <v>126</v>
      </c>
      <c r="P8" s="43">
        <f t="shared" ref="P8:P13" si="9">INT((R8-O8)*60)</f>
        <v>20</v>
      </c>
      <c r="Q8" s="47">
        <f t="shared" ref="Q8:Q13" si="10">((R8-O8)*60-P8)*60</f>
        <v>42.801428570913913</v>
      </c>
      <c r="R8" s="44">
        <f t="shared" ref="R8:R13" si="11">IF(S8&gt;360,S8-360,S8)</f>
        <v>126.34522261904748</v>
      </c>
      <c r="S8" s="37">
        <f>IF(R7&gt;180,R7-180+N8,R7+180+N8)</f>
        <v>126.34522261904748</v>
      </c>
      <c r="T8" s="2">
        <v>11.606</v>
      </c>
      <c r="U8" s="56">
        <f t="shared" ref="U8:U12" si="12">(COS(RADIANS(R8))*T8)</f>
        <v>-6.8782854581435844</v>
      </c>
      <c r="V8" s="57">
        <f t="shared" ref="V8:V12" si="13">(SIN(RADIANS(R8))*T8)</f>
        <v>9.3481776382507036</v>
      </c>
      <c r="W8" s="56">
        <f t="shared" ref="W8:W14" si="14">((-($U$20/$T$20)*T8)+U8)</f>
        <v>-6.8791297176089925</v>
      </c>
      <c r="X8" s="58">
        <f t="shared" ref="X8:X14" si="15">((-($V$20/$T$20)*T8)+V8)</f>
        <v>9.3495922472682835</v>
      </c>
      <c r="Y8" s="56">
        <f t="shared" ref="Y8:Y12" si="16">Y7+W8</f>
        <v>100108.05218188489</v>
      </c>
      <c r="Z8" s="57">
        <f t="shared" si="0"/>
        <v>101449.2071896194</v>
      </c>
      <c r="AA8" s="38" t="str">
        <f t="shared" si="1"/>
        <v>D2</v>
      </c>
      <c r="AB8" s="114"/>
    </row>
    <row r="9" spans="1:28" x14ac:dyDescent="0.25">
      <c r="A9" s="38" t="s">
        <v>1</v>
      </c>
      <c r="B9" s="38" t="s">
        <v>2</v>
      </c>
      <c r="C9" s="39">
        <v>148</v>
      </c>
      <c r="D9" s="40">
        <v>41</v>
      </c>
      <c r="E9" s="40">
        <v>41</v>
      </c>
      <c r="F9" s="41">
        <f t="shared" si="2"/>
        <v>148.69472222222223</v>
      </c>
      <c r="G9" s="42">
        <f t="shared" si="3"/>
        <v>4.7619047622252504E-4</v>
      </c>
      <c r="H9" s="43">
        <f t="shared" ref="H9:H10" si="17">INT(G9)</f>
        <v>0</v>
      </c>
      <c r="I9" s="43">
        <f t="shared" ref="I9:I10" si="18">INT(G9-H9)*60</f>
        <v>0</v>
      </c>
      <c r="J9" s="44">
        <f t="shared" ref="J9:J10" si="19">(((G9-H9)*60-I9)*60)</f>
        <v>1.7142857144010901</v>
      </c>
      <c r="K9" s="45">
        <f t="shared" si="4"/>
        <v>148</v>
      </c>
      <c r="L9" s="45">
        <f t="shared" si="5"/>
        <v>41</v>
      </c>
      <c r="M9" s="45">
        <f t="shared" si="6"/>
        <v>39.285714285565518</v>
      </c>
      <c r="N9" s="46">
        <f t="shared" si="7"/>
        <v>148.69424603174599</v>
      </c>
      <c r="O9" s="45">
        <f t="shared" si="8"/>
        <v>95</v>
      </c>
      <c r="P9" s="43">
        <f t="shared" si="9"/>
        <v>2</v>
      </c>
      <c r="Q9" s="47">
        <f t="shared" si="10"/>
        <v>22.087142856530591</v>
      </c>
      <c r="R9" s="44">
        <f t="shared" si="11"/>
        <v>95.039468650793481</v>
      </c>
      <c r="S9" s="37">
        <f t="shared" ref="S9:S14" si="20">IF(R8&gt;180,R8-180+N9,R8+180+N9)</f>
        <v>455.03946865079348</v>
      </c>
      <c r="T9" s="2">
        <v>12.835000000000001</v>
      </c>
      <c r="U9" s="56">
        <f t="shared" si="12"/>
        <v>-1.1274515387586173</v>
      </c>
      <c r="V9" s="57">
        <f t="shared" si="13"/>
        <v>12.785385329654748</v>
      </c>
      <c r="W9" s="56">
        <f t="shared" si="14"/>
        <v>-1.1283851998165626</v>
      </c>
      <c r="X9" s="58">
        <f t="shared" si="15"/>
        <v>12.786949736577084</v>
      </c>
      <c r="Y9" s="56">
        <f t="shared" si="16"/>
        <v>100106.92379668508</v>
      </c>
      <c r="Z9" s="57">
        <f t="shared" si="0"/>
        <v>101461.99413935597</v>
      </c>
      <c r="AA9" s="38" t="str">
        <f t="shared" si="1"/>
        <v>D3</v>
      </c>
      <c r="AB9" s="114"/>
    </row>
    <row r="10" spans="1:28" x14ac:dyDescent="0.25">
      <c r="A10" s="38" t="s">
        <v>2</v>
      </c>
      <c r="B10" s="38" t="s">
        <v>4</v>
      </c>
      <c r="C10" s="39">
        <v>91</v>
      </c>
      <c r="D10" s="40">
        <v>1</v>
      </c>
      <c r="E10" s="40">
        <v>1</v>
      </c>
      <c r="F10" s="41">
        <f t="shared" si="2"/>
        <v>91.016944444444448</v>
      </c>
      <c r="G10" s="42">
        <f t="shared" si="3"/>
        <v>4.7619047622252504E-4</v>
      </c>
      <c r="H10" s="43">
        <f t="shared" si="17"/>
        <v>0</v>
      </c>
      <c r="I10" s="43">
        <f t="shared" si="18"/>
        <v>0</v>
      </c>
      <c r="J10" s="44">
        <f t="shared" si="19"/>
        <v>1.7142857144010901</v>
      </c>
      <c r="K10" s="45">
        <f t="shared" si="4"/>
        <v>91</v>
      </c>
      <c r="L10" s="45">
        <f t="shared" si="5"/>
        <v>0</v>
      </c>
      <c r="M10" s="45">
        <f t="shared" si="6"/>
        <v>59.285714285618951</v>
      </c>
      <c r="N10" s="46">
        <f t="shared" si="7"/>
        <v>91.016468253968227</v>
      </c>
      <c r="O10" s="45">
        <f t="shared" si="8"/>
        <v>6</v>
      </c>
      <c r="P10" s="43">
        <f t="shared" si="9"/>
        <v>3</v>
      </c>
      <c r="Q10" s="47">
        <f t="shared" si="10"/>
        <v>21.372857142200701</v>
      </c>
      <c r="R10" s="44">
        <f t="shared" si="11"/>
        <v>6.0559369047617224</v>
      </c>
      <c r="S10" s="37">
        <f t="shared" si="20"/>
        <v>366.05593690476172</v>
      </c>
      <c r="T10" s="2">
        <v>36.984999999999999</v>
      </c>
      <c r="U10" s="56">
        <f t="shared" si="12"/>
        <v>36.778600475350757</v>
      </c>
      <c r="V10" s="57">
        <f t="shared" si="13"/>
        <v>3.9018933961000215</v>
      </c>
      <c r="W10" s="56">
        <f t="shared" si="14"/>
        <v>36.775910062087952</v>
      </c>
      <c r="X10" s="58">
        <f t="shared" si="15"/>
        <v>3.9064013501337267</v>
      </c>
      <c r="Y10" s="56">
        <f t="shared" si="16"/>
        <v>100143.69970674717</v>
      </c>
      <c r="Z10" s="57">
        <f t="shared" si="0"/>
        <v>101465.9005407061</v>
      </c>
      <c r="AA10" s="38" t="str">
        <f t="shared" si="1"/>
        <v>D4</v>
      </c>
      <c r="AB10" s="161"/>
    </row>
    <row r="11" spans="1:28" x14ac:dyDescent="0.25">
      <c r="A11" s="38" t="s">
        <v>4</v>
      </c>
      <c r="B11" s="38" t="s">
        <v>5</v>
      </c>
      <c r="C11" s="48">
        <v>100</v>
      </c>
      <c r="D11" s="49">
        <v>27</v>
      </c>
      <c r="E11" s="49">
        <v>43</v>
      </c>
      <c r="F11" s="41">
        <f t="shared" si="2"/>
        <v>100.46194444444444</v>
      </c>
      <c r="G11" s="42">
        <f t="shared" si="3"/>
        <v>4.7619047622252504E-4</v>
      </c>
      <c r="H11" s="43">
        <f>INT(G11)</f>
        <v>0</v>
      </c>
      <c r="I11" s="43">
        <f>INT(G11-H11)*60</f>
        <v>0</v>
      </c>
      <c r="J11" s="44">
        <f>(((G11-H11)*60-I11)*60)</f>
        <v>1.7142857144010901</v>
      </c>
      <c r="K11" s="45">
        <f t="shared" si="4"/>
        <v>100</v>
      </c>
      <c r="L11" s="45">
        <f t="shared" si="5"/>
        <v>27</v>
      </c>
      <c r="M11" s="45">
        <f t="shared" si="6"/>
        <v>41.285714285594395</v>
      </c>
      <c r="N11" s="46">
        <f t="shared" si="7"/>
        <v>100.46146825396822</v>
      </c>
      <c r="O11" s="45">
        <f t="shared" si="8"/>
        <v>286</v>
      </c>
      <c r="P11" s="43">
        <f t="shared" si="9"/>
        <v>31</v>
      </c>
      <c r="Q11" s="47">
        <f t="shared" si="10"/>
        <v>2.6585714278462547</v>
      </c>
      <c r="R11" s="44">
        <f t="shared" si="11"/>
        <v>286.51740515872996</v>
      </c>
      <c r="S11" s="37">
        <f t="shared" si="20"/>
        <v>286.51740515872996</v>
      </c>
      <c r="T11" s="2">
        <v>18.117000000000001</v>
      </c>
      <c r="U11" s="56">
        <f t="shared" si="12"/>
        <v>5.1507826593495638</v>
      </c>
      <c r="V11" s="57">
        <f t="shared" si="13"/>
        <v>-17.369373247073248</v>
      </c>
      <c r="W11" s="56">
        <f t="shared" si="14"/>
        <v>5.1494647678507874</v>
      </c>
      <c r="X11" s="58">
        <f t="shared" si="15"/>
        <v>-17.367165038252683</v>
      </c>
      <c r="Y11" s="56">
        <f t="shared" si="16"/>
        <v>100148.84917151502</v>
      </c>
      <c r="Z11" s="57">
        <f t="shared" si="0"/>
        <v>101448.53337566786</v>
      </c>
      <c r="AA11" s="38" t="str">
        <f t="shared" si="1"/>
        <v>D5</v>
      </c>
      <c r="AB11" s="114"/>
    </row>
    <row r="12" spans="1:28" x14ac:dyDescent="0.25">
      <c r="A12" s="38" t="s">
        <v>5</v>
      </c>
      <c r="B12" s="38" t="s">
        <v>6</v>
      </c>
      <c r="C12" s="48">
        <v>104</v>
      </c>
      <c r="D12" s="49">
        <v>46</v>
      </c>
      <c r="E12" s="49">
        <v>7</v>
      </c>
      <c r="F12" s="41">
        <f t="shared" si="2"/>
        <v>104.76861111111111</v>
      </c>
      <c r="G12" s="42">
        <f t="shared" si="3"/>
        <v>4.7619047622252504E-4</v>
      </c>
      <c r="H12" s="43">
        <f>INT(G12)</f>
        <v>0</v>
      </c>
      <c r="I12" s="43">
        <f>INT(G12-H12)*60</f>
        <v>0</v>
      </c>
      <c r="J12" s="44">
        <f>(((G12-H12)*60-I12)*60)</f>
        <v>1.7142857144010901</v>
      </c>
      <c r="K12" s="45">
        <f t="shared" si="4"/>
        <v>104</v>
      </c>
      <c r="L12" s="45">
        <f t="shared" si="5"/>
        <v>46</v>
      </c>
      <c r="M12" s="45">
        <f t="shared" si="6"/>
        <v>5.2857142856134942</v>
      </c>
      <c r="N12" s="46">
        <f t="shared" si="7"/>
        <v>104.76813492063489</v>
      </c>
      <c r="O12" s="45">
        <f t="shared" si="8"/>
        <v>211</v>
      </c>
      <c r="P12" s="43">
        <f t="shared" si="9"/>
        <v>17</v>
      </c>
      <c r="Q12" s="47">
        <f t="shared" si="10"/>
        <v>7.944285713510908</v>
      </c>
      <c r="R12" s="44">
        <f t="shared" si="11"/>
        <v>211.28554007936486</v>
      </c>
      <c r="S12" s="37">
        <f t="shared" si="20"/>
        <v>211.28554007936486</v>
      </c>
      <c r="T12" s="2">
        <v>15.425000000000001</v>
      </c>
      <c r="U12" s="56">
        <f t="shared" si="12"/>
        <v>-13.182049448650639</v>
      </c>
      <c r="V12" s="57">
        <f t="shared" si="13"/>
        <v>-8.0102557595453447</v>
      </c>
      <c r="W12" s="56">
        <f t="shared" si="14"/>
        <v>-13.183171515017511</v>
      </c>
      <c r="X12" s="58">
        <f t="shared" si="15"/>
        <v>-8.0083756678603404</v>
      </c>
      <c r="Y12" s="56">
        <f t="shared" si="16"/>
        <v>100135.666</v>
      </c>
      <c r="Z12" s="57">
        <f t="shared" si="0"/>
        <v>101440.52499999999</v>
      </c>
      <c r="AA12" s="38" t="s">
        <v>6</v>
      </c>
      <c r="AB12" s="114"/>
    </row>
    <row r="13" spans="1:28" x14ac:dyDescent="0.25">
      <c r="A13" s="38" t="s">
        <v>6</v>
      </c>
      <c r="B13" s="38" t="s">
        <v>3</v>
      </c>
      <c r="C13" s="48">
        <v>299</v>
      </c>
      <c r="D13" s="49">
        <v>18</v>
      </c>
      <c r="E13" s="49">
        <v>51</v>
      </c>
      <c r="F13" s="41">
        <f t="shared" si="2"/>
        <v>299.31416666666667</v>
      </c>
      <c r="G13" s="42">
        <f t="shared" si="3"/>
        <v>4.7619047622252504E-4</v>
      </c>
      <c r="H13" s="43">
        <f>INT(G13)</f>
        <v>0</v>
      </c>
      <c r="I13" s="43">
        <f>INT(G13-H13)*60</f>
        <v>0</v>
      </c>
      <c r="J13" s="44">
        <f>(((G13-H13)*60-I13)*60)</f>
        <v>1.7142857144010901</v>
      </c>
      <c r="K13" s="45">
        <f t="shared" si="4"/>
        <v>299</v>
      </c>
      <c r="L13" s="45">
        <f t="shared" si="5"/>
        <v>18</v>
      </c>
      <c r="M13" s="45">
        <f t="shared" si="6"/>
        <v>49.28571428565192</v>
      </c>
      <c r="N13" s="46">
        <f t="shared" si="7"/>
        <v>299.31369047619046</v>
      </c>
      <c r="O13" s="45">
        <f t="shared" si="8"/>
        <v>330</v>
      </c>
      <c r="P13" s="43">
        <f t="shared" si="9"/>
        <v>35</v>
      </c>
      <c r="Q13" s="47">
        <f t="shared" si="10"/>
        <v>57.229999999162828</v>
      </c>
      <c r="R13" s="44">
        <f t="shared" si="11"/>
        <v>330.59923055555532</v>
      </c>
      <c r="S13" s="37">
        <f t="shared" si="20"/>
        <v>330.59923055555532</v>
      </c>
      <c r="T13" s="50"/>
      <c r="U13" s="56"/>
      <c r="V13" s="57"/>
      <c r="W13" s="56"/>
      <c r="X13" s="58"/>
      <c r="Y13" s="42"/>
      <c r="Z13" s="44"/>
      <c r="AA13" s="38"/>
      <c r="AB13" s="114"/>
    </row>
    <row r="14" spans="1:28" x14ac:dyDescent="0.25">
      <c r="A14" s="38"/>
      <c r="B14" s="38"/>
      <c r="C14" s="59"/>
      <c r="D14" s="60"/>
      <c r="E14" s="60"/>
      <c r="F14" s="61"/>
      <c r="G14" s="42"/>
      <c r="H14" s="43"/>
      <c r="I14" s="43"/>
      <c r="J14" s="44"/>
      <c r="K14" s="45"/>
      <c r="L14" s="45"/>
      <c r="M14" s="45"/>
      <c r="N14" s="46"/>
      <c r="O14" s="45"/>
      <c r="P14" s="43"/>
      <c r="Q14" s="47"/>
      <c r="R14" s="44"/>
      <c r="S14" s="37"/>
      <c r="T14" s="62"/>
      <c r="U14" s="39"/>
      <c r="V14" s="63"/>
      <c r="W14" s="56"/>
      <c r="X14" s="58"/>
      <c r="Y14" s="42"/>
      <c r="Z14" s="44"/>
      <c r="AA14" s="38"/>
      <c r="AB14" s="161"/>
    </row>
    <row r="15" spans="1:28" x14ac:dyDescent="0.25">
      <c r="A15" s="38"/>
      <c r="B15" s="64"/>
      <c r="C15" s="39"/>
      <c r="D15" s="40"/>
      <c r="E15" s="40"/>
      <c r="F15" s="65"/>
      <c r="G15" s="39"/>
      <c r="H15" s="40"/>
      <c r="I15" s="40"/>
      <c r="J15" s="63"/>
      <c r="K15" s="66"/>
      <c r="L15" s="40"/>
      <c r="M15" s="40"/>
      <c r="N15" s="63"/>
      <c r="O15" s="66"/>
      <c r="P15" s="40"/>
      <c r="Q15" s="40"/>
      <c r="R15" s="63"/>
      <c r="S15" s="67"/>
      <c r="T15" s="64"/>
      <c r="U15" s="39"/>
      <c r="V15" s="63"/>
      <c r="W15" s="39"/>
      <c r="X15" s="65"/>
      <c r="Y15" s="39"/>
      <c r="Z15" s="63"/>
      <c r="AA15" s="64"/>
    </row>
    <row r="16" spans="1:28" x14ac:dyDescent="0.25">
      <c r="A16" s="64"/>
      <c r="B16" s="64"/>
      <c r="C16" s="39"/>
      <c r="D16" s="40"/>
      <c r="E16" s="40"/>
      <c r="F16" s="65"/>
      <c r="G16" s="39"/>
      <c r="H16" s="40"/>
      <c r="I16" s="40"/>
      <c r="J16" s="63"/>
      <c r="K16" s="66"/>
      <c r="L16" s="40"/>
      <c r="M16" s="40"/>
      <c r="N16" s="63"/>
      <c r="O16" s="66"/>
      <c r="P16" s="40"/>
      <c r="Q16" s="40"/>
      <c r="R16" s="63"/>
      <c r="S16" s="67"/>
      <c r="T16" s="64"/>
      <c r="U16" s="39"/>
      <c r="V16" s="63"/>
      <c r="W16" s="39"/>
      <c r="X16" s="65"/>
      <c r="Y16" s="39"/>
      <c r="Z16" s="63"/>
      <c r="AA16" s="64"/>
    </row>
    <row r="17" spans="1:27" x14ac:dyDescent="0.25">
      <c r="A17" s="64"/>
      <c r="B17" s="64"/>
      <c r="C17" s="39"/>
      <c r="D17" s="40"/>
      <c r="E17" s="40"/>
      <c r="F17" s="65"/>
      <c r="G17" s="39"/>
      <c r="H17" s="40"/>
      <c r="I17" s="40"/>
      <c r="J17" s="63"/>
      <c r="K17" s="66"/>
      <c r="L17" s="40"/>
      <c r="M17" s="40"/>
      <c r="N17" s="63"/>
      <c r="O17" s="66"/>
      <c r="P17" s="40"/>
      <c r="Q17" s="40"/>
      <c r="R17" s="63"/>
      <c r="S17" s="67"/>
      <c r="T17" s="64"/>
      <c r="U17" s="39"/>
      <c r="V17" s="63"/>
      <c r="W17" s="39"/>
      <c r="X17" s="65"/>
      <c r="Y17" s="39"/>
      <c r="Z17" s="63"/>
      <c r="AA17" s="64"/>
    </row>
    <row r="18" spans="1:27" x14ac:dyDescent="0.25">
      <c r="A18" s="64"/>
      <c r="B18" s="64"/>
      <c r="C18" s="39"/>
      <c r="D18" s="40"/>
      <c r="E18" s="40"/>
      <c r="F18" s="65"/>
      <c r="G18" s="39"/>
      <c r="H18" s="40"/>
      <c r="I18" s="40"/>
      <c r="J18" s="63"/>
      <c r="K18" s="66"/>
      <c r="L18" s="40"/>
      <c r="M18" s="40"/>
      <c r="N18" s="63"/>
      <c r="O18" s="66"/>
      <c r="P18" s="40"/>
      <c r="Q18" s="40"/>
      <c r="R18" s="63"/>
      <c r="S18" s="67"/>
      <c r="T18" s="64"/>
      <c r="U18" s="39"/>
      <c r="V18" s="63"/>
      <c r="W18" s="39"/>
      <c r="X18" s="65"/>
      <c r="Y18" s="39"/>
      <c r="Z18" s="63"/>
      <c r="AA18" s="64"/>
    </row>
    <row r="19" spans="1:27" ht="15.75" thickBot="1" x14ac:dyDescent="0.3">
      <c r="A19" s="68"/>
      <c r="B19" s="68"/>
      <c r="C19" s="69"/>
      <c r="D19" s="70"/>
      <c r="E19" s="70"/>
      <c r="F19" s="71"/>
      <c r="G19" s="69"/>
      <c r="H19" s="70"/>
      <c r="I19" s="70"/>
      <c r="J19" s="72"/>
      <c r="K19" s="73"/>
      <c r="L19" s="70"/>
      <c r="M19" s="70"/>
      <c r="N19" s="72"/>
      <c r="O19" s="73"/>
      <c r="P19" s="70"/>
      <c r="Q19" s="70"/>
      <c r="R19" s="72"/>
      <c r="S19" s="74"/>
      <c r="T19" s="68"/>
      <c r="U19" s="69"/>
      <c r="V19" s="72"/>
      <c r="W19" s="69"/>
      <c r="X19" s="71"/>
      <c r="Y19" s="69"/>
      <c r="Z19" s="72"/>
      <c r="AA19" s="75"/>
    </row>
    <row r="20" spans="1:27" ht="15.75" thickBot="1" x14ac:dyDescent="0.3">
      <c r="A20" s="76" t="s">
        <v>29</v>
      </c>
      <c r="B20" s="77"/>
      <c r="C20" s="78"/>
      <c r="D20" s="79"/>
      <c r="E20" s="80"/>
      <c r="F20" s="81">
        <f>SUM(F7:F14)</f>
        <v>1080.0033333333336</v>
      </c>
      <c r="G20" s="78"/>
      <c r="H20" s="79"/>
      <c r="I20" s="79"/>
      <c r="J20" s="82"/>
      <c r="K20" s="83"/>
      <c r="L20" s="79"/>
      <c r="M20" s="80"/>
      <c r="N20" s="81">
        <f>SUM(N7:N14)</f>
        <v>1079.9999999999998</v>
      </c>
      <c r="O20" s="83"/>
      <c r="P20" s="79"/>
      <c r="Q20" s="79"/>
      <c r="R20" s="82"/>
      <c r="S20" s="84"/>
      <c r="T20" s="85">
        <f>SUM(T7:T14)</f>
        <v>115.712</v>
      </c>
      <c r="U20" s="86">
        <f>SUM(U7:U14)</f>
        <v>8.4172799639237184E-3</v>
      </c>
      <c r="V20" s="87">
        <f>SUM(V7:V14)</f>
        <v>-1.4103673844751086E-2</v>
      </c>
      <c r="W20" s="86">
        <f>SUM(W7:W14)</f>
        <v>0</v>
      </c>
      <c r="X20" s="88">
        <f>SUM(X7:X14)</f>
        <v>0</v>
      </c>
      <c r="Y20" s="78"/>
      <c r="Z20" s="82"/>
      <c r="AA20" s="89"/>
    </row>
    <row r="21" spans="1:27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0" t="s">
        <v>30</v>
      </c>
      <c r="P21" s="91"/>
      <c r="Q21" s="91"/>
      <c r="R21" s="91"/>
      <c r="S21" s="91"/>
      <c r="T21" s="92"/>
      <c r="U21" s="93">
        <f>U20</f>
        <v>8.4172799639237184E-3</v>
      </c>
      <c r="V21" s="94">
        <f>V20</f>
        <v>-1.4103673844751086E-2</v>
      </c>
      <c r="W21" s="95"/>
      <c r="X21" s="1"/>
      <c r="Y21" s="1"/>
      <c r="Z21" s="1"/>
      <c r="AA21" s="1"/>
    </row>
    <row r="22" spans="1:27" x14ac:dyDescent="0.25">
      <c r="A22" s="96" t="s">
        <v>31</v>
      </c>
      <c r="B22" s="97"/>
      <c r="C22" s="96">
        <v>6</v>
      </c>
      <c r="D22" s="98"/>
      <c r="E22" s="98"/>
      <c r="F22" s="97"/>
      <c r="G22" s="99"/>
      <c r="H22" s="99"/>
      <c r="I22" s="99"/>
      <c r="J22" s="99"/>
      <c r="K22" s="99"/>
      <c r="L22" s="99"/>
      <c r="M22" s="99"/>
      <c r="N22" s="99"/>
      <c r="O22" s="100" t="s">
        <v>32</v>
      </c>
      <c r="P22" s="101"/>
      <c r="Q22" s="101"/>
      <c r="R22" s="101"/>
      <c r="S22" s="101"/>
      <c r="T22" s="102"/>
      <c r="U22" s="103">
        <f>SUM(ABS(U7)+ABS(U8)+ABS(U9)+ABS(U10)+ABS(U11)+ABS(U12)+ABS(U13)+ABS(U14)+ABS(U15)+ABS(U16)+ABS(U17)+ABS(U18)+ABS(U19))</f>
        <v>83.850348989436711</v>
      </c>
      <c r="V22" s="104">
        <f>SUM(ABS(V7)+ABS(V8)+ABS(V9)+ABS(V10)+ABS(V11)+ABS(V12)+ABS(V13)+ABS(V14)+ABS(V15)+ABS(V16)+ABS(V17)+ABS(V18)+ABS(V19))</f>
        <v>52.085016401855697</v>
      </c>
      <c r="W22" s="95"/>
      <c r="X22" s="96" t="s">
        <v>26</v>
      </c>
      <c r="Y22" s="98"/>
      <c r="Z22" s="97"/>
      <c r="AA22" s="1"/>
    </row>
    <row r="23" spans="1:27" x14ac:dyDescent="0.25">
      <c r="A23" s="105" t="s">
        <v>33</v>
      </c>
      <c r="B23" s="106"/>
      <c r="C23" s="105" t="s">
        <v>34</v>
      </c>
      <c r="D23" s="107"/>
      <c r="E23" s="107"/>
      <c r="F23" s="106"/>
      <c r="G23" s="99"/>
      <c r="H23" s="99"/>
      <c r="I23" s="99"/>
      <c r="J23" s="99"/>
      <c r="K23" s="99"/>
      <c r="L23" s="99"/>
      <c r="M23" s="99"/>
      <c r="N23" s="99"/>
      <c r="O23" s="100" t="s">
        <v>35</v>
      </c>
      <c r="P23" s="101"/>
      <c r="Q23" s="101"/>
      <c r="R23" s="101"/>
      <c r="S23" s="101"/>
      <c r="T23" s="102"/>
      <c r="U23" s="108">
        <f>U21/U22</f>
        <v>1.0038455492873512E-4</v>
      </c>
      <c r="V23" s="109">
        <f>V21/V22</f>
        <v>-2.7078178752860287E-4</v>
      </c>
      <c r="W23" s="110"/>
      <c r="X23" s="39" t="s">
        <v>36</v>
      </c>
      <c r="Y23" s="40" t="s">
        <v>9</v>
      </c>
      <c r="Z23" s="63" t="s">
        <v>10</v>
      </c>
      <c r="AA23" s="1"/>
    </row>
    <row r="24" spans="1:27" ht="15.75" thickBot="1" x14ac:dyDescent="0.3">
      <c r="A24" s="111" t="s">
        <v>37</v>
      </c>
      <c r="B24" s="112"/>
      <c r="C24" s="42">
        <f>INT(F24)</f>
        <v>1080</v>
      </c>
      <c r="D24" s="43">
        <f>INT((F24-C24)*60)</f>
        <v>0</v>
      </c>
      <c r="E24" s="113">
        <f>((F24-C24)*60-D24)*60</f>
        <v>12.000000000807631</v>
      </c>
      <c r="F24" s="44">
        <f>F20</f>
        <v>1080.0033333333336</v>
      </c>
      <c r="G24" s="114"/>
      <c r="H24" s="114"/>
      <c r="I24" s="114"/>
      <c r="J24" s="114"/>
      <c r="K24" s="99"/>
      <c r="L24" s="99"/>
      <c r="M24" s="99"/>
      <c r="N24" s="99"/>
      <c r="O24" s="115" t="s">
        <v>38</v>
      </c>
      <c r="P24" s="116"/>
      <c r="Q24" s="116"/>
      <c r="R24" s="116"/>
      <c r="S24" s="116"/>
      <c r="T24" s="117"/>
      <c r="U24" s="118">
        <f>(SQRT(POWER(U20,2)+POWER(V20,2)))</f>
        <v>1.6424500537617195E-2</v>
      </c>
      <c r="V24" s="119"/>
      <c r="W24" s="95"/>
      <c r="X24" s="39" t="s">
        <v>6</v>
      </c>
      <c r="Y24" s="43">
        <v>100135.67</v>
      </c>
      <c r="Z24" s="44">
        <v>101440.53</v>
      </c>
      <c r="AA24" s="1"/>
    </row>
    <row r="25" spans="1:27" ht="15.75" thickBot="1" x14ac:dyDescent="0.3">
      <c r="A25" s="120" t="s">
        <v>39</v>
      </c>
      <c r="B25" s="121"/>
      <c r="C25" s="42">
        <f>INT(F25)</f>
        <v>1080</v>
      </c>
      <c r="D25" s="43">
        <f>INT((F25-C25)*60)</f>
        <v>0</v>
      </c>
      <c r="E25" s="113">
        <f>((F25-C25)*60-D25)*60</f>
        <v>0</v>
      </c>
      <c r="F25" s="44">
        <f>IF(C23="E",(C22+2)*180,((C22-2)*180)+360)</f>
        <v>1080</v>
      </c>
      <c r="G25" s="114"/>
      <c r="H25" s="114"/>
      <c r="I25" s="114"/>
      <c r="J25" s="114"/>
      <c r="K25" s="99"/>
      <c r="L25" s="99"/>
      <c r="M25" s="99"/>
      <c r="N25" s="99"/>
      <c r="O25" s="122" t="s">
        <v>40</v>
      </c>
      <c r="P25" s="123"/>
      <c r="Q25" s="123"/>
      <c r="R25" s="123"/>
      <c r="S25" s="123"/>
      <c r="T25" s="124"/>
      <c r="U25" s="125">
        <f>MROUND(T20/U24,1000)</f>
        <v>7000</v>
      </c>
      <c r="V25" s="126"/>
      <c r="W25" s="127"/>
      <c r="X25" s="128" t="s">
        <v>3</v>
      </c>
      <c r="Y25" s="18">
        <v>100142.80899999999</v>
      </c>
      <c r="Z25" s="19">
        <v>101436.5</v>
      </c>
      <c r="AA25" s="1"/>
    </row>
    <row r="26" spans="1:27" x14ac:dyDescent="0.25">
      <c r="A26" s="105" t="s">
        <v>41</v>
      </c>
      <c r="B26" s="106"/>
      <c r="C26" s="129" t="str">
        <f>ROUNDDOWN(F26,0)&amp;"°"&amp;ROUNDDOWN((F26-ROUNDDOWN(F26,0))*60,0)&amp;"'"&amp;(ROUNDDOWN((((F26-ROUNDDOWN(F26,0))*60)-(ROUNDDOWN(((F26-ROUNDDOWN(F26,0))*60),0)))*60,2))&amp;"''"</f>
        <v>0°0'12''</v>
      </c>
      <c r="D26" s="130"/>
      <c r="E26" s="131"/>
      <c r="F26" s="44">
        <f>F24-F25</f>
        <v>3.3333333335576754E-3</v>
      </c>
      <c r="G26" s="114"/>
      <c r="H26" s="114"/>
      <c r="I26" s="114"/>
      <c r="J26" s="114"/>
      <c r="K26" s="99"/>
      <c r="L26" s="99"/>
      <c r="M26" s="99"/>
      <c r="N26" s="99"/>
      <c r="O26" s="1"/>
      <c r="P26" s="1"/>
      <c r="Q26" s="1"/>
      <c r="R26" s="1"/>
      <c r="S26" s="114"/>
      <c r="T26" s="132"/>
      <c r="U26" s="1"/>
      <c r="V26" s="1"/>
      <c r="W26" s="1"/>
      <c r="X26" s="1"/>
      <c r="Y26" s="1"/>
      <c r="Z26" s="1"/>
      <c r="AA26" s="1"/>
    </row>
    <row r="27" spans="1:27" ht="15.75" thickBot="1" x14ac:dyDescent="0.3">
      <c r="A27" s="133" t="s">
        <v>42</v>
      </c>
      <c r="B27" s="134"/>
      <c r="C27" s="135" t="str">
        <f>ROUNDDOWN(F27,0)&amp;"°"&amp;ROUNDDOWN((F27-ROUNDDOWN(F27,0))*60,0)&amp;"'"&amp;(ROUNDDOWN((((F27-ROUNDDOWN(F27,0))*60)-(ROUNDDOWN(((F27-ROUNDDOWN(F27,0))*60),0)))*60,2))&amp;"''"</f>
        <v>0°0'1.71''</v>
      </c>
      <c r="D27" s="136"/>
      <c r="E27" s="137"/>
      <c r="F27" s="19">
        <f>F26/(C22+1)</f>
        <v>4.7619047622252504E-4</v>
      </c>
      <c r="G27" s="114"/>
      <c r="H27" s="114"/>
      <c r="I27" s="114"/>
      <c r="J27" s="114"/>
      <c r="K27" s="99"/>
      <c r="L27" s="99"/>
      <c r="M27" s="99"/>
      <c r="N27" s="99"/>
      <c r="O27" s="1"/>
      <c r="P27" s="1"/>
      <c r="Q27" s="1"/>
      <c r="R27" s="1"/>
      <c r="S27" s="114"/>
      <c r="T27" s="132"/>
      <c r="U27" s="1"/>
      <c r="V27" s="1"/>
      <c r="W27" s="1"/>
      <c r="X27" s="1"/>
      <c r="Y27" s="1"/>
      <c r="Z27" s="1"/>
      <c r="AA27" s="1"/>
    </row>
  </sheetData>
  <mergeCells count="31">
    <mergeCell ref="U25:V25"/>
    <mergeCell ref="A26:B26"/>
    <mergeCell ref="C26:E26"/>
    <mergeCell ref="T26:T27"/>
    <mergeCell ref="A27:B27"/>
    <mergeCell ref="C27:E27"/>
    <mergeCell ref="A23:B23"/>
    <mergeCell ref="C23:F23"/>
    <mergeCell ref="O23:T23"/>
    <mergeCell ref="A24:B24"/>
    <mergeCell ref="O24:T24"/>
    <mergeCell ref="A25:B25"/>
    <mergeCell ref="O25:T25"/>
    <mergeCell ref="Y4:Z4"/>
    <mergeCell ref="AA4:AA5"/>
    <mergeCell ref="A20:B20"/>
    <mergeCell ref="O21:T21"/>
    <mergeCell ref="A22:B22"/>
    <mergeCell ref="C22:F22"/>
    <mergeCell ref="O22:T22"/>
    <mergeCell ref="X22:Z22"/>
    <mergeCell ref="B2:Z2"/>
    <mergeCell ref="A4:A5"/>
    <mergeCell ref="B4:B5"/>
    <mergeCell ref="C4:F4"/>
    <mergeCell ref="G4:J4"/>
    <mergeCell ref="K4:N4"/>
    <mergeCell ref="O4:S4"/>
    <mergeCell ref="T4:T5"/>
    <mergeCell ref="U4:V4"/>
    <mergeCell ref="W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CRANDALL</vt:lpstr>
      <vt:lpstr>TRANSITO</vt:lpstr>
      <vt:lpstr>BRUJULA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fuquene</dc:creator>
  <cp:lastModifiedBy>sergio fuquene</cp:lastModifiedBy>
  <cp:lastPrinted>2018-04-25T21:06:17Z</cp:lastPrinted>
  <dcterms:created xsi:type="dcterms:W3CDTF">2018-04-25T16:01:21Z</dcterms:created>
  <dcterms:modified xsi:type="dcterms:W3CDTF">2018-04-25T21:22:33Z</dcterms:modified>
</cp:coreProperties>
</file>