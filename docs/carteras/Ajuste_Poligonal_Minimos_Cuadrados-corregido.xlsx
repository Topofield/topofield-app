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POLIGONAL MINIMOS" sheetId="1" state="visible" r:id="rId1"/>
    <sheet xmlns:r="http://schemas.openxmlformats.org/officeDocument/2006/relationships" name="AJUSTE CORREGIDO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9">
    <numFmt numFmtId="164" formatCode="0.000000"/>
    <numFmt numFmtId="165" formatCode="0.000"/>
    <numFmt numFmtId="166" formatCode="0.00000"/>
    <numFmt numFmtId="167" formatCode="0.0000000"/>
    <numFmt numFmtId="168" formatCode="0.0000"/>
    <numFmt numFmtId="169" formatCode="0.000000000"/>
    <numFmt numFmtId="170" formatCode="0.0000000000"/>
    <numFmt numFmtId="171" formatCode="0.00000000"/>
    <numFmt numFmtId="172" formatCode="0.0E+00"/>
  </numFmts>
  <fonts count="26">
    <font>
      <name val="Calibri"/>
      <color theme="1"/>
      <sz val="11"/>
      <scheme val="minor"/>
    </font>
    <font>
      <name val="Calibri"/>
      <color theme="1"/>
      <sz val="11"/>
    </font>
    <font>
      <name val="Arial"/>
      <b val="1"/>
      <color theme="1"/>
      <sz val="14"/>
    </font>
    <font>
      <name val="Calibri"/>
      <sz val="11"/>
    </font>
    <font>
      <name val="Arial"/>
      <b val="1"/>
      <color theme="1"/>
      <sz val="11"/>
    </font>
    <font>
      <name val="Arial"/>
      <color theme="1"/>
      <sz val="11"/>
    </font>
    <font>
      <name val="Arial"/>
      <color theme="1"/>
      <sz val="10"/>
    </font>
    <font>
      <name val="Calibri"/>
      <b val="1"/>
      <color theme="1"/>
      <sz val="11"/>
    </font>
    <font>
      <name val="Arial"/>
      <b val="1"/>
      <color theme="1"/>
      <sz val="10"/>
    </font>
    <font>
      <name val="Arial"/>
      <b val="1"/>
      <color theme="0"/>
      <sz val="10"/>
    </font>
    <font>
      <name val="Arial"/>
      <color rgb="FF00B0F0"/>
      <sz val="10"/>
    </font>
    <font>
      <name val="Arial"/>
      <color theme="0"/>
      <sz val="10"/>
    </font>
    <font>
      <name val="Arial"/>
      <color rgb="FFFF0000"/>
      <sz val="10"/>
    </font>
    <font>
      <name val="Arial"/>
      <b val="1"/>
      <color rgb="FFFF0000"/>
      <sz val="10"/>
    </font>
    <font>
      <name val="Calibri"/>
      <color rgb="FFFF0000"/>
      <sz val="11"/>
    </font>
    <font>
      <name val="Arial"/>
      <color theme="1"/>
      <sz val="10"/>
      <u val="single"/>
    </font>
    <font>
      <name val="Calibri"/>
      <color rgb="FFFF0000"/>
      <sz val="10"/>
    </font>
    <font>
      <name val="Arial"/>
      <color theme="1"/>
      <sz val="8"/>
    </font>
    <font>
      <name val="Arial"/>
      <color rgb="FF0070C0"/>
      <sz val="8"/>
    </font>
    <font>
      <name val="Calibri"/>
      <color theme="0"/>
      <sz val="11"/>
    </font>
    <font>
      <name val="Calibri"/>
      <family val="2"/>
      <color theme="1"/>
      <sz val="11"/>
    </font>
    <font>
      <name val="Arial"/>
      <family val="2"/>
      <sz val="10"/>
    </font>
    <font>
      <name val="Arial"/>
      <family val="2"/>
      <color rgb="FFFF0000"/>
      <sz val="10"/>
    </font>
    <font>
      <name val="Calibri"/>
      <family val="2"/>
      <color theme="0"/>
      <sz val="11"/>
    </font>
    <font>
      <name val="Calibri"/>
      <family val="2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2F2F2"/>
        <bgColor rgb="FFF2F2F2"/>
      </patternFill>
    </fill>
  </fills>
  <borders count="38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rgb="FFFF0000"/>
      </left>
      <right style="thin">
        <color rgb="FFFF0000"/>
      </right>
      <top/>
      <bottom style="thin">
        <color rgb="FFFF0000"/>
      </bottom>
      <diagonal/>
    </border>
    <border>
      <left style="thin">
        <color rgb="FFFF0000"/>
      </left>
      <right style="thin">
        <color rgb="FFFF0000"/>
      </right>
      <top/>
      <bottom/>
      <diagonal/>
    </border>
    <border>
      <left style="thin">
        <color rgb="FFFF0000"/>
      </left>
      <right style="thin">
        <color rgb="FFFF0000"/>
      </right>
      <top style="thin">
        <color rgb="FFFF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1"/>
  </cellStyleXfs>
  <cellXfs count="169">
    <xf numFmtId="0" fontId="0" fillId="0" borderId="0" pivotButton="0" quotePrefix="0" xfId="0"/>
    <xf numFmtId="0" fontId="1" fillId="2" borderId="1" pivotButton="0" quotePrefix="0" xfId="0"/>
    <xf numFmtId="0" fontId="2" fillId="2" borderId="1" applyAlignment="1" pivotButton="0" quotePrefix="0" xfId="0">
      <alignment vertical="center" wrapText="1"/>
    </xf>
    <xf numFmtId="0" fontId="2" fillId="2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vertical="center" wrapText="1"/>
    </xf>
    <xf numFmtId="0" fontId="4" fillId="2" borderId="12" applyAlignment="1" pivotButton="0" quotePrefix="0" xfId="0">
      <alignment horizontal="center"/>
    </xf>
    <xf numFmtId="0" fontId="6" fillId="2" borderId="1" pivotButton="0" quotePrefix="0" xfId="0"/>
    <xf numFmtId="0" fontId="6" fillId="0" borderId="0" pivotButton="0" quotePrefix="0" xfId="0"/>
    <xf numFmtId="0" fontId="7" fillId="2" borderId="12" applyAlignment="1" pivotButton="0" quotePrefix="0" xfId="0">
      <alignment horizontal="center"/>
    </xf>
    <xf numFmtId="164" fontId="6" fillId="2" borderId="1" pivotButton="0" quotePrefix="0" xfId="0"/>
    <xf numFmtId="0" fontId="8" fillId="2" borderId="12" pivotButton="0" quotePrefix="0" xfId="0"/>
    <xf numFmtId="0" fontId="8" fillId="2" borderId="12" applyAlignment="1" pivotButton="0" quotePrefix="0" xfId="0">
      <alignment horizontal="center"/>
    </xf>
    <xf numFmtId="0" fontId="9" fillId="2" borderId="1" applyAlignment="1" pivotButton="0" quotePrefix="0" xfId="0">
      <alignment horizontal="center"/>
    </xf>
    <xf numFmtId="165" fontId="6" fillId="0" borderId="0" applyAlignment="1" pivotButton="0" quotePrefix="0" xfId="0">
      <alignment horizontal="center"/>
    </xf>
    <xf numFmtId="0" fontId="6" fillId="2" borderId="12" pivotButton="0" quotePrefix="0" xfId="0"/>
    <xf numFmtId="0" fontId="6" fillId="2" borderId="12" applyAlignment="1" pivotButton="0" quotePrefix="0" xfId="0">
      <alignment horizontal="center"/>
    </xf>
    <xf numFmtId="0" fontId="10" fillId="2" borderId="12" applyAlignment="1" pivotButton="0" quotePrefix="0" xfId="0">
      <alignment horizontal="center"/>
    </xf>
    <xf numFmtId="0" fontId="11" fillId="2" borderId="1" pivotButton="0" quotePrefix="0" xfId="0"/>
    <xf numFmtId="0" fontId="6" fillId="2" borderId="1" applyAlignment="1" pivotButton="0" quotePrefix="0" xfId="0">
      <alignment horizontal="center"/>
    </xf>
    <xf numFmtId="165" fontId="12" fillId="0" borderId="0" applyAlignment="1" pivotButton="0" quotePrefix="0" xfId="0">
      <alignment horizontal="center"/>
    </xf>
    <xf numFmtId="0" fontId="1" fillId="2" borderId="12" applyAlignment="1" pivotButton="0" quotePrefix="0" xfId="0">
      <alignment horizontal="center" vertical="center"/>
    </xf>
    <xf numFmtId="0" fontId="12" fillId="0" borderId="0" pivotButton="0" quotePrefix="0" xfId="0"/>
    <xf numFmtId="164" fontId="6" fillId="2" borderId="12" applyAlignment="1" pivotButton="0" quotePrefix="0" xfId="0">
      <alignment horizontal="right"/>
    </xf>
    <xf numFmtId="165" fontId="6" fillId="2" borderId="12" applyAlignment="1" pivotButton="0" quotePrefix="0" xfId="0">
      <alignment horizontal="center"/>
    </xf>
    <xf numFmtId="166" fontId="11" fillId="2" borderId="1" pivotButton="0" quotePrefix="0" xfId="0"/>
    <xf numFmtId="0" fontId="6" fillId="2" borderId="1" applyAlignment="1" pivotButton="0" quotePrefix="0" xfId="0">
      <alignment horizontal="right"/>
    </xf>
    <xf numFmtId="164" fontId="6" fillId="2" borderId="12" applyAlignment="1" pivotButton="0" quotePrefix="0" xfId="0">
      <alignment horizontal="center"/>
    </xf>
    <xf numFmtId="167" fontId="10" fillId="2" borderId="12" applyAlignment="1" pivotButton="0" quotePrefix="0" xfId="0">
      <alignment horizontal="center"/>
    </xf>
    <xf numFmtId="166" fontId="6" fillId="2" borderId="1" pivotButton="0" quotePrefix="0" xfId="0"/>
    <xf numFmtId="166" fontId="6" fillId="2" borderId="1" applyAlignment="1" pivotButton="0" quotePrefix="0" xfId="0">
      <alignment horizontal="center"/>
    </xf>
    <xf numFmtId="167" fontId="10" fillId="2" borderId="1" applyAlignment="1" pivotButton="0" quotePrefix="0" xfId="0">
      <alignment horizontal="center"/>
    </xf>
    <xf numFmtId="0" fontId="6" fillId="2" borderId="12" applyAlignment="1" pivotButton="0" quotePrefix="0" xfId="0">
      <alignment horizontal="center" vertical="center"/>
    </xf>
    <xf numFmtId="168" fontId="6" fillId="2" borderId="12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/>
    </xf>
    <xf numFmtId="164" fontId="13" fillId="2" borderId="12" applyAlignment="1" pivotButton="0" quotePrefix="0" xfId="0">
      <alignment horizontal="center" vertical="center"/>
    </xf>
    <xf numFmtId="165" fontId="12" fillId="2" borderId="1" applyAlignment="1" pivotButton="0" quotePrefix="0" xfId="0">
      <alignment horizontal="center"/>
    </xf>
    <xf numFmtId="167" fontId="12" fillId="2" borderId="14" applyAlignment="1" pivotButton="0" quotePrefix="0" xfId="0">
      <alignment horizontal="center" vertical="center"/>
    </xf>
    <xf numFmtId="0" fontId="6" fillId="0" borderId="0" applyAlignment="1" pivotButton="0" quotePrefix="0" xfId="0">
      <alignment horizontal="right"/>
    </xf>
    <xf numFmtId="0" fontId="10" fillId="0" borderId="0" pivotButton="0" quotePrefix="0" xfId="0"/>
    <xf numFmtId="0" fontId="12" fillId="2" borderId="15" applyAlignment="1" pivotButton="0" quotePrefix="0" xfId="0">
      <alignment horizontal="center" vertical="center"/>
    </xf>
    <xf numFmtId="167" fontId="12" fillId="2" borderId="1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/>
    </xf>
    <xf numFmtId="1" fontId="1" fillId="2" borderId="12" applyAlignment="1" pivotButton="0" quotePrefix="0" xfId="0">
      <alignment horizontal="center" vertical="center"/>
    </xf>
    <xf numFmtId="0" fontId="10" fillId="0" borderId="0" applyAlignment="1" pivotButton="0" quotePrefix="0" xfId="0">
      <alignment horizontal="right"/>
    </xf>
    <xf numFmtId="0" fontId="15" fillId="0" borderId="0" pivotButton="0" quotePrefix="0" xfId="0"/>
    <xf numFmtId="0" fontId="1" fillId="2" borderId="12" pivotButton="0" quotePrefix="0" xfId="0"/>
    <xf numFmtId="166" fontId="1" fillId="2" borderId="12" pivotButton="0" quotePrefix="0" xfId="0"/>
    <xf numFmtId="0" fontId="17" fillId="2" borderId="12" applyAlignment="1" pivotButton="0" quotePrefix="0" xfId="0">
      <alignment horizontal="center"/>
    </xf>
    <xf numFmtId="0" fontId="17" fillId="2" borderId="12" pivotButton="0" quotePrefix="0" xfId="0"/>
    <xf numFmtId="168" fontId="1" fillId="2" borderId="12" pivotButton="0" quotePrefix="0" xfId="0"/>
    <xf numFmtId="165" fontId="18" fillId="2" borderId="12" applyAlignment="1" pivotButton="0" quotePrefix="0" xfId="0">
      <alignment horizontal="center"/>
    </xf>
    <xf numFmtId="169" fontId="1" fillId="2" borderId="12" pivotButton="0" quotePrefix="0" xfId="0"/>
    <xf numFmtId="1" fontId="1" fillId="2" borderId="12" pivotButton="0" quotePrefix="0" xfId="0"/>
    <xf numFmtId="167" fontId="1" fillId="2" borderId="12" pivotButton="0" quotePrefix="0" xfId="0"/>
    <xf numFmtId="164" fontId="1" fillId="2" borderId="12" pivotButton="0" quotePrefix="0" xfId="0"/>
    <xf numFmtId="0" fontId="14" fillId="2" borderId="12" applyAlignment="1" pivotButton="0" quotePrefix="0" xfId="0">
      <alignment horizontal="center"/>
    </xf>
    <xf numFmtId="167" fontId="1" fillId="0" borderId="0" pivotButton="0" quotePrefix="0" xfId="0"/>
    <xf numFmtId="0" fontId="1" fillId="0" borderId="0" pivotButton="0" quotePrefix="0" xfId="0"/>
    <xf numFmtId="0" fontId="19" fillId="2" borderId="1" pivotButton="0" quotePrefix="0" xfId="0"/>
    <xf numFmtId="165" fontId="1" fillId="2" borderId="12" pivotButton="0" quotePrefix="0" xfId="0"/>
    <xf numFmtId="0" fontId="8" fillId="2" borderId="18" pivotButton="0" quotePrefix="0" xfId="0"/>
    <xf numFmtId="0" fontId="8" fillId="2" borderId="19" pivotButton="0" quotePrefix="0" xfId="0"/>
    <xf numFmtId="0" fontId="8" fillId="2" borderId="19" applyAlignment="1" pivotButton="0" quotePrefix="0" xfId="0">
      <alignment horizontal="center"/>
    </xf>
    <xf numFmtId="0" fontId="8" fillId="2" borderId="20" applyAlignment="1" pivotButton="0" quotePrefix="0" xfId="0">
      <alignment horizontal="center"/>
    </xf>
    <xf numFmtId="0" fontId="9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0" fontId="6" fillId="2" borderId="21" pivotButton="0" quotePrefix="0" xfId="0"/>
    <xf numFmtId="0" fontId="6" fillId="2" borderId="22" applyAlignment="1" pivotButton="0" quotePrefix="0" xfId="0">
      <alignment horizontal="center"/>
    </xf>
    <xf numFmtId="0" fontId="11" fillId="0" borderId="0" pivotButton="0" quotePrefix="0" xfId="0"/>
    <xf numFmtId="170" fontId="6" fillId="2" borderId="12" pivotButton="0" quotePrefix="0" xfId="0"/>
    <xf numFmtId="167" fontId="6" fillId="2" borderId="12" applyAlignment="1" pivotButton="0" quotePrefix="0" xfId="0">
      <alignment horizontal="center"/>
    </xf>
    <xf numFmtId="166" fontId="11" fillId="0" borderId="0" pivotButton="0" quotePrefix="0" xfId="0"/>
    <xf numFmtId="166" fontId="6" fillId="0" borderId="0" pivotButton="0" quotePrefix="0" xfId="0"/>
    <xf numFmtId="0" fontId="6" fillId="2" borderId="23" pivotButton="0" quotePrefix="0" xfId="0"/>
    <xf numFmtId="165" fontId="12" fillId="2" borderId="24" pivotButton="0" quotePrefix="0" xfId="0"/>
    <xf numFmtId="164" fontId="6" fillId="2" borderId="24" applyAlignment="1" pivotButton="0" quotePrefix="0" xfId="0">
      <alignment horizontal="center"/>
    </xf>
    <xf numFmtId="167" fontId="10" fillId="2" borderId="24" applyAlignment="1" pivotButton="0" quotePrefix="0" xfId="0">
      <alignment horizontal="center"/>
    </xf>
    <xf numFmtId="0" fontId="6" fillId="2" borderId="24" applyAlignment="1" pivotButton="0" quotePrefix="0" xfId="0">
      <alignment horizontal="center"/>
    </xf>
    <xf numFmtId="0" fontId="6" fillId="2" borderId="25" applyAlignment="1" pivotButton="0" quotePrefix="0" xfId="0">
      <alignment horizontal="center"/>
    </xf>
    <xf numFmtId="0" fontId="8" fillId="0" borderId="0" pivotButton="0" quotePrefix="0" xfId="0"/>
    <xf numFmtId="0" fontId="10" fillId="0" borderId="0" applyAlignment="1" pivotButton="0" quotePrefix="0" xfId="0">
      <alignment horizontal="center"/>
    </xf>
    <xf numFmtId="165" fontId="8" fillId="0" borderId="0" applyAlignment="1" pivotButton="0" quotePrefix="0" xfId="0">
      <alignment horizontal="center"/>
    </xf>
    <xf numFmtId="164" fontId="6" fillId="0" borderId="0" applyAlignment="1" pivotButton="0" quotePrefix="0" xfId="0">
      <alignment horizontal="right"/>
    </xf>
    <xf numFmtId="164" fontId="1" fillId="0" borderId="0" pivotButton="0" quotePrefix="0" xfId="0"/>
    <xf numFmtId="167" fontId="6" fillId="0" borderId="0" applyAlignment="1" pivotButton="0" quotePrefix="0" xfId="0">
      <alignment horizontal="center"/>
    </xf>
    <xf numFmtId="164" fontId="6" fillId="0" borderId="0" applyAlignment="1" pivotButton="0" quotePrefix="0" xfId="0">
      <alignment horizontal="center"/>
    </xf>
    <xf numFmtId="167" fontId="10" fillId="0" borderId="0" applyAlignment="1" pivotButton="0" quotePrefix="0" xfId="0">
      <alignment horizontal="center"/>
    </xf>
    <xf numFmtId="0" fontId="21" fillId="2" borderId="12" applyAlignment="1" pivotButton="0" quotePrefix="0" xfId="0">
      <alignment horizontal="center"/>
    </xf>
    <xf numFmtId="164" fontId="21" fillId="2" borderId="12" applyAlignment="1" pivotButton="0" quotePrefix="0" xfId="0">
      <alignment horizontal="center"/>
    </xf>
    <xf numFmtId="0" fontId="22" fillId="2" borderId="12" applyAlignment="1" pivotButton="0" quotePrefix="0" xfId="0">
      <alignment horizontal="center"/>
    </xf>
    <xf numFmtId="0" fontId="20" fillId="0" borderId="0" pivotButton="0" quotePrefix="0" xfId="0"/>
    <xf numFmtId="164" fontId="1" fillId="2" borderId="12" applyAlignment="1" pivotButton="0" quotePrefix="0" xfId="0">
      <alignment horizontal="center"/>
    </xf>
    <xf numFmtId="165" fontId="6" fillId="2" borderId="24" applyAlignment="1" pivotButton="0" quotePrefix="0" xfId="0">
      <alignment horizontal="center"/>
    </xf>
    <xf numFmtId="171" fontId="1" fillId="2" borderId="1" pivotButton="0" quotePrefix="0" xfId="0"/>
    <xf numFmtId="165" fontId="1" fillId="2" borderId="1" pivotButton="0" quotePrefix="0" xfId="0"/>
    <xf numFmtId="0" fontId="23" fillId="2" borderId="1" applyAlignment="1" pivotButton="0" quotePrefix="0" xfId="0">
      <alignment horizontal="center" vertical="center"/>
    </xf>
    <xf numFmtId="1" fontId="23" fillId="2" borderId="1" applyAlignment="1" pivotButton="0" quotePrefix="0" xfId="0">
      <alignment horizontal="center" vertical="center"/>
    </xf>
    <xf numFmtId="167" fontId="0" fillId="0" borderId="0" pivotButton="0" quotePrefix="0" xfId="0"/>
    <xf numFmtId="171" fontId="1" fillId="2" borderId="12" pivotButton="0" quotePrefix="0" xfId="0"/>
    <xf numFmtId="0" fontId="14" fillId="2" borderId="15" applyAlignment="1" pivotButton="0" quotePrefix="0" xfId="0">
      <alignment horizontal="center"/>
    </xf>
    <xf numFmtId="0" fontId="14" fillId="2" borderId="10" applyAlignment="1" pivotButton="0" quotePrefix="0" xfId="0">
      <alignment horizontal="center"/>
    </xf>
    <xf numFmtId="0" fontId="14" fillId="2" borderId="9" applyAlignment="1" pivotButton="0" quotePrefix="0" xfId="0">
      <alignment horizontal="center"/>
    </xf>
    <xf numFmtId="0" fontId="14" fillId="2" borderId="26" applyAlignment="1" pivotButton="0" quotePrefix="0" xfId="0">
      <alignment horizontal="center"/>
    </xf>
    <xf numFmtId="0" fontId="3" fillId="0" borderId="26" pivotButton="0" quotePrefix="0" xfId="0"/>
    <xf numFmtId="0" fontId="1" fillId="2" borderId="16" applyAlignment="1" pivotButton="0" quotePrefix="0" xfId="0">
      <alignment horizontal="center"/>
    </xf>
    <xf numFmtId="0" fontId="1" fillId="2" borderId="17" applyAlignment="1" pivotButton="0" quotePrefix="0" xfId="0">
      <alignment horizontal="center"/>
    </xf>
    <xf numFmtId="0" fontId="1" fillId="2" borderId="7" applyAlignment="1" pivotButton="0" quotePrefix="0" xfId="0">
      <alignment horizontal="center"/>
    </xf>
    <xf numFmtId="0" fontId="16" fillId="2" borderId="8" applyAlignment="1" pivotButton="0" quotePrefix="0" xfId="0">
      <alignment horizontal="center"/>
    </xf>
    <xf numFmtId="0" fontId="3" fillId="0" borderId="9" pivotButton="0" quotePrefix="0" xfId="0"/>
    <xf numFmtId="0" fontId="12" fillId="2" borderId="8" applyAlignment="1" pivotButton="0" quotePrefix="0" xfId="0">
      <alignment horizontal="center"/>
    </xf>
    <xf numFmtId="0" fontId="1" fillId="2" borderId="15" applyAlignment="1" pivotButton="0" quotePrefix="0" xfId="0">
      <alignment horizontal="center"/>
    </xf>
    <xf numFmtId="0" fontId="1" fillId="2" borderId="10" applyAlignment="1" pivotButton="0" quotePrefix="0" xfId="0">
      <alignment horizontal="center"/>
    </xf>
    <xf numFmtId="0" fontId="1" fillId="2" borderId="9" applyAlignment="1" pivotButton="0" quotePrefix="0" xfId="0">
      <alignment horizontal="center"/>
    </xf>
    <xf numFmtId="0" fontId="14" fillId="2" borderId="8" applyAlignment="1" pivotButton="0" quotePrefix="0" xfId="0">
      <alignment horizontal="center"/>
    </xf>
    <xf numFmtId="0" fontId="3" fillId="0" borderId="10" pivotButton="0" quotePrefix="0" xfId="0"/>
    <xf numFmtId="0" fontId="4" fillId="2" borderId="8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4" fillId="2" borderId="11" applyAlignment="1" pivotButton="0" quotePrefix="0" xfId="0">
      <alignment horizontal="center" vertical="center" wrapText="1"/>
    </xf>
    <xf numFmtId="0" fontId="3" fillId="0" borderId="13" pivotButton="0" quotePrefix="0" xfId="0"/>
    <xf numFmtId="0" fontId="4" fillId="2" borderId="8" applyAlignment="1" pivotButton="0" quotePrefix="0" xfId="0">
      <alignment horizontal="center"/>
    </xf>
    <xf numFmtId="0" fontId="2" fillId="3" borderId="2" applyAlignment="1" pivotButton="0" quotePrefix="0" xfId="0">
      <alignment horizontal="center" vertical="center" wrapText="1"/>
    </xf>
    <xf numFmtId="0" fontId="3" fillId="0" borderId="3" pivotButton="0" quotePrefix="0" xfId="0"/>
    <xf numFmtId="0" fontId="3" fillId="0" borderId="4" pivotButton="0" quotePrefix="0" xfId="0"/>
    <xf numFmtId="0" fontId="3" fillId="0" borderId="5" pivotButton="0" quotePrefix="0" xfId="0"/>
    <xf numFmtId="0" fontId="3" fillId="0" borderId="6" pivotButton="0" quotePrefix="0" xfId="0"/>
    <xf numFmtId="0" fontId="3" fillId="0" borderId="7" pivotButton="0" quotePrefix="0" xfId="0"/>
    <xf numFmtId="0" fontId="4" fillId="2" borderId="2" applyAlignment="1" pivotButton="0" quotePrefix="0" xfId="0">
      <alignment horizontal="center" vertical="center" wrapText="1"/>
    </xf>
    <xf numFmtId="0" fontId="5" fillId="2" borderId="2" applyAlignment="1" pivotButton="0" quotePrefix="0" xfId="0">
      <alignment horizontal="center" vertical="center" wrapText="1"/>
    </xf>
    <xf numFmtId="0" fontId="21" fillId="2" borderId="1" pivotButton="0" quotePrefix="0" xfId="0"/>
    <xf numFmtId="166" fontId="21" fillId="2" borderId="1" pivotButton="0" quotePrefix="0" xfId="0"/>
    <xf numFmtId="167" fontId="24" fillId="2" borderId="1" pivotButton="0" quotePrefix="0" xfId="0"/>
    <xf numFmtId="0" fontId="24" fillId="2" borderId="1" pivotButton="0" quotePrefix="0" xfId="0"/>
    <xf numFmtId="167" fontId="1" fillId="2" borderId="13" applyAlignment="1" pivotButton="0" quotePrefix="0" xfId="0">
      <alignment horizontal="left"/>
    </xf>
    <xf numFmtId="167" fontId="1" fillId="2" borderId="28" applyAlignment="1" pivotButton="0" quotePrefix="0" xfId="0">
      <alignment horizontal="left"/>
    </xf>
    <xf numFmtId="167" fontId="1" fillId="2" borderId="27" applyAlignment="1" pivotButton="0" quotePrefix="0" xfId="0">
      <alignment horizontal="left"/>
    </xf>
    <xf numFmtId="167" fontId="1" fillId="2" borderId="29" applyAlignment="1" pivotButton="0" quotePrefix="0" xfId="0">
      <alignment horizontal="left"/>
    </xf>
    <xf numFmtId="0" fontId="1" fillId="2" borderId="30" pivotButton="0" quotePrefix="0" xfId="0"/>
    <xf numFmtId="0" fontId="24" fillId="2" borderId="1" applyAlignment="1" pivotButton="0" quotePrefix="0" xfId="0">
      <alignment horizontal="center"/>
    </xf>
    <xf numFmtId="172" fontId="24" fillId="2" borderId="1" pivotButton="0" quotePrefix="0" xfId="0"/>
    <xf numFmtId="0" fontId="21" fillId="2" borderId="1" applyAlignment="1" pivotButton="0" quotePrefix="0" xfId="0">
      <alignment horizontal="center"/>
    </xf>
    <xf numFmtId="0" fontId="2" fillId="3" borderId="12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7" pivotButton="0" quotePrefix="0" xfId="0"/>
    <xf numFmtId="0" fontId="4" fillId="2" borderId="12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0" fillId="0" borderId="9" pivotButton="0" quotePrefix="0" xfId="0"/>
    <xf numFmtId="0" fontId="0" fillId="0" borderId="10" pivotButton="0" quotePrefix="0" xfId="0"/>
    <xf numFmtId="0" fontId="0" fillId="0" borderId="13" pivotButton="0" quotePrefix="0" xfId="0"/>
    <xf numFmtId="0" fontId="0" fillId="0" borderId="36" pivotButton="0" quotePrefix="0" xfId="0"/>
    <xf numFmtId="0" fontId="0" fillId="0" borderId="37" pivotButton="0" quotePrefix="0" xfId="0"/>
    <xf numFmtId="0" fontId="1" fillId="2" borderId="13" applyAlignment="1" pivotButton="0" quotePrefix="0" xfId="0">
      <alignment horizontal="center"/>
    </xf>
    <xf numFmtId="0" fontId="16" fillId="2" borderId="12" applyAlignment="1" pivotButton="0" quotePrefix="0" xfId="0">
      <alignment horizontal="center"/>
    </xf>
    <xf numFmtId="0" fontId="12" fillId="2" borderId="12" applyAlignment="1" pivotButton="0" quotePrefix="0" xfId="0">
      <alignment horizontal="center"/>
    </xf>
    <xf numFmtId="0" fontId="1" fillId="2" borderId="12" applyAlignment="1" pivotButton="0" quotePrefix="0" xfId="0">
      <alignment horizontal="center"/>
    </xf>
    <xf numFmtId="171" fontId="1" fillId="2" borderId="12" pivotButton="0" quotePrefix="0" xfId="0"/>
    <xf numFmtId="172" fontId="24" fillId="2" borderId="1" pivotButton="0" quotePrefix="0" xfId="0"/>
    <xf numFmtId="170" fontId="6" fillId="2" borderId="12" pivotButton="0" quotePrefix="0" xfId="0"/>
    <xf numFmtId="171" fontId="1" fillId="2" borderId="1" pivotButton="0" quotePrefix="0" xfId="0"/>
    <xf numFmtId="0" fontId="25" fillId="0" borderId="0" pivotButton="0" quotePrefix="0" xfId="0"/>
    <xf numFmtId="171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6" fontId="0" fillId="0" borderId="0" pivotButton="0" quotePrefix="0" xfId="0"/>
    <xf numFmtId="168" fontId="0" fillId="0" borderId="0" pivotButton="0" quotePrefix="0" xfId="0"/>
    <xf numFmtId="169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None</author>
  </authors>
  <commentList>
    <comment ref="G26" authorId="0" shapeId="0">
      <text>
        <t>======
ID#AAAAjYXszbw
UsuarioPro    (2022-11-04 03:58:21)
Radian</t>
      </text>
    </comment>
    <comment ref="A64" authorId="0" shapeId="0">
      <text>
        <t>======
ID#AAAAjYXszb0
UsuarioPro    (2022-11-04 03:58:21)
Para correción al azimut se debe hacer acumulando el error</t>
      </text>
    </comment>
  </commentList>
</comment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83"/>
  <sheetViews>
    <sheetView tabSelected="1" zoomScale="90" zoomScaleNormal="90" workbookViewId="0">
      <selection activeCell="M67" sqref="M67"/>
    </sheetView>
  </sheetViews>
  <sheetFormatPr baseColWidth="10" defaultColWidth="14.42578125" defaultRowHeight="15" customHeight="1"/>
  <cols>
    <col width="10.7109375" customWidth="1" min="1" max="1"/>
    <col width="12.5703125" customWidth="1" min="2" max="2"/>
    <col width="13" customWidth="1" min="3" max="3"/>
    <col width="16.7109375" customWidth="1" min="4" max="4"/>
    <col width="13.5703125" customWidth="1" min="5" max="5"/>
    <col width="13" customWidth="1" min="6" max="6"/>
    <col width="13.28515625" customWidth="1" min="7" max="7"/>
    <col width="12.85546875" customWidth="1" min="8" max="8"/>
    <col width="13" customWidth="1" min="9" max="9"/>
    <col width="14.5703125" customWidth="1" min="10" max="10"/>
    <col width="12.7109375" customWidth="1" min="11" max="11"/>
    <col width="12.140625" customWidth="1" min="12" max="12"/>
    <col width="12.28515625" customWidth="1" min="13" max="13"/>
    <col width="13" customWidth="1" min="14" max="17"/>
    <col width="10.7109375" customWidth="1" min="18" max="26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8" customHeight="1">
      <c r="A2" s="1" t="n"/>
      <c r="B2" s="1" t="n"/>
      <c r="C2" s="1" t="n"/>
      <c r="D2" s="1" t="n"/>
      <c r="E2" s="1" t="n"/>
      <c r="F2" s="141" t="inlineStr">
        <is>
          <t xml:space="preserve">POLIGONAL CERRADA </t>
        </is>
      </c>
      <c r="G2" s="142" t="n"/>
      <c r="H2" s="142" t="n"/>
      <c r="I2" s="142" t="n"/>
      <c r="J2" s="142" t="n"/>
      <c r="K2" s="142" t="n"/>
      <c r="L2" s="143" t="n"/>
      <c r="M2" s="2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18" customHeight="1">
      <c r="A3" s="1" t="n"/>
      <c r="B3" s="1" t="n"/>
      <c r="C3" s="1" t="n"/>
      <c r="D3" s="1" t="n"/>
      <c r="E3" s="1" t="n"/>
      <c r="F3" s="144" t="n"/>
      <c r="G3" s="145" t="n"/>
      <c r="H3" s="145" t="n"/>
      <c r="I3" s="145" t="n"/>
      <c r="J3" s="145" t="n"/>
      <c r="K3" s="145" t="n"/>
      <c r="L3" s="146" t="n"/>
      <c r="M3" s="2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18" customHeight="1">
      <c r="A4" s="1" t="n"/>
      <c r="B4" s="1" t="n"/>
      <c r="C4" s="1" t="n"/>
      <c r="D4" s="1" t="n"/>
      <c r="E4" s="1" t="n"/>
      <c r="F4" s="3" t="n"/>
      <c r="G4" s="3" t="n"/>
      <c r="H4" s="3" t="n"/>
      <c r="I4" s="3" t="n"/>
      <c r="J4" s="3" t="n"/>
      <c r="K4" s="3" t="n"/>
      <c r="L4" s="3" t="n"/>
      <c r="M4" s="3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>
      <c r="A5" s="1" t="n"/>
      <c r="B5" s="1" t="n"/>
      <c r="C5" s="1" t="n"/>
      <c r="D5" s="1" t="n"/>
      <c r="E5" s="1" t="n"/>
      <c r="F5" s="147" t="inlineStr">
        <is>
          <t>PROYECTO:</t>
        </is>
      </c>
      <c r="G5" s="143" t="n"/>
      <c r="H5" s="148" t="inlineStr">
        <is>
          <t>POLIGONAL CERRADA U DISTRITAL SEDE VIVERO, AJUSTE POR MÍNIMOS CUADRADOS</t>
        </is>
      </c>
      <c r="I5" s="142" t="n"/>
      <c r="J5" s="142" t="n"/>
      <c r="K5" s="142" t="n"/>
      <c r="L5" s="143" t="n"/>
      <c r="M5" s="4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15" customHeight="1">
      <c r="A6" s="1" t="n"/>
      <c r="B6" s="1" t="n"/>
      <c r="C6" s="1" t="n"/>
      <c r="D6" s="1" t="n"/>
      <c r="E6" s="1" t="n"/>
      <c r="F6" s="144" t="n"/>
      <c r="G6" s="146" t="n"/>
      <c r="H6" s="144" t="n"/>
      <c r="I6" s="145" t="n"/>
      <c r="J6" s="145" t="n"/>
      <c r="K6" s="145" t="n"/>
      <c r="L6" s="146" t="n"/>
      <c r="M6" s="4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>
      <c r="A7" s="1" t="n"/>
      <c r="B7" s="1" t="n"/>
      <c r="C7" s="1" t="n"/>
      <c r="D7" s="1" t="n"/>
      <c r="E7" s="1" t="n"/>
      <c r="F7" s="147" t="inlineStr">
        <is>
          <t>TOPOGRAFO:</t>
        </is>
      </c>
      <c r="G7" s="149" t="n"/>
      <c r="H7" s="148" t="inlineStr">
        <is>
          <t>GRUPO DE TRABAJO 3</t>
        </is>
      </c>
      <c r="I7" s="150" t="n"/>
      <c r="J7" s="150" t="n"/>
      <c r="K7" s="150" t="n"/>
      <c r="L7" s="149" t="n"/>
      <c r="M7" s="4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15" customHeight="1">
      <c r="A8" s="1" t="n"/>
      <c r="B8" s="1" t="n"/>
      <c r="C8" s="1" t="n"/>
      <c r="D8" s="1" t="n"/>
      <c r="E8" s="1" t="n"/>
      <c r="F8" s="147" t="inlineStr">
        <is>
          <t>DIRECCIÓN:</t>
        </is>
      </c>
      <c r="G8" s="149" t="n"/>
      <c r="H8" s="148" t="inlineStr">
        <is>
          <t>CRA 5 #15-82, SEDE VIVERO</t>
        </is>
      </c>
      <c r="I8" s="150" t="n"/>
      <c r="J8" s="150" t="n"/>
      <c r="K8" s="150" t="n"/>
      <c r="L8" s="149" t="n"/>
      <c r="M8" s="4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>
      <c r="B10" s="1" t="n"/>
      <c r="C10" s="1" t="n"/>
      <c r="D10" s="147" t="inlineStr">
        <is>
          <t>FECHA:</t>
        </is>
      </c>
      <c r="E10" s="5" t="inlineStr">
        <is>
          <t>AÑO</t>
        </is>
      </c>
      <c r="F10" s="149" t="n"/>
      <c r="G10" s="5" t="inlineStr">
        <is>
          <t xml:space="preserve">MES </t>
        </is>
      </c>
      <c r="H10" s="5" t="inlineStr">
        <is>
          <t>DIA</t>
        </is>
      </c>
      <c r="I10" s="147" t="inlineStr">
        <is>
          <t>HOJA:</t>
        </is>
      </c>
      <c r="J10" s="147" t="n">
        <v>1</v>
      </c>
      <c r="K10" s="147" t="inlineStr">
        <is>
          <t>DE</t>
        </is>
      </c>
      <c r="L10" s="147" t="n">
        <v>1</v>
      </c>
      <c r="M10" s="1" t="n"/>
      <c r="N10" s="1" t="n"/>
      <c r="O10" s="6" t="n"/>
      <c r="P10" s="6" t="n"/>
      <c r="Q10" s="7" t="n"/>
      <c r="R10" s="7" t="n"/>
      <c r="S10" s="7" t="n"/>
      <c r="T10" s="7" t="n"/>
    </row>
    <row r="11" ht="15" customHeight="1">
      <c r="A11" s="1" t="n"/>
      <c r="B11" s="1" t="n"/>
      <c r="C11" s="1" t="n"/>
      <c r="D11" s="151" t="n"/>
      <c r="E11" s="147" t="n">
        <v>2021</v>
      </c>
      <c r="F11" s="149" t="n"/>
      <c r="G11" s="8" t="n">
        <v>11</v>
      </c>
      <c r="H11" s="8" t="n">
        <v>4</v>
      </c>
      <c r="I11" s="151" t="n"/>
      <c r="J11" s="151" t="n"/>
      <c r="K11" s="151" t="n"/>
      <c r="L11" s="151" t="n"/>
      <c r="M11" s="1" t="n"/>
      <c r="N11" s="6" t="n"/>
      <c r="O11" s="6" t="n"/>
      <c r="P11" s="9" t="n"/>
      <c r="Q11" s="7" t="n"/>
      <c r="R11" s="7" t="n"/>
      <c r="S11" s="7" t="n"/>
      <c r="T11" s="7" t="n"/>
    </row>
    <row r="12">
      <c r="A12" s="1" t="n"/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  <c r="M12" s="6" t="n"/>
      <c r="N12" s="9" t="n"/>
      <c r="O12" s="9" t="n"/>
      <c r="P12" s="7" t="n"/>
      <c r="Q12" s="7" t="n"/>
      <c r="R12" s="7" t="n"/>
      <c r="S12" s="7" t="n"/>
    </row>
    <row r="13" ht="15" customHeight="1">
      <c r="A13" s="1" t="n"/>
      <c r="B13" s="1" t="n"/>
      <c r="C13" s="6" t="n"/>
      <c r="D13" s="10" t="inlineStr">
        <is>
          <t>Delta</t>
        </is>
      </c>
      <c r="E13" s="10" t="inlineStr">
        <is>
          <t>Punto</t>
        </is>
      </c>
      <c r="F13" s="11" t="inlineStr">
        <is>
          <t>Ang. Ext</t>
        </is>
      </c>
      <c r="G13" s="11" t="inlineStr">
        <is>
          <t>Azimut</t>
        </is>
      </c>
      <c r="H13" s="11" t="inlineStr">
        <is>
          <t>Dist. Horz.</t>
        </is>
      </c>
      <c r="I13" s="11" t="inlineStr">
        <is>
          <t>Proy. (N-S)</t>
        </is>
      </c>
      <c r="J13" s="11" t="inlineStr">
        <is>
          <t>Proy. (E-W)</t>
        </is>
      </c>
      <c r="K13" s="11" t="inlineStr">
        <is>
          <t>C. NORTE</t>
        </is>
      </c>
      <c r="L13" s="11" t="inlineStr">
        <is>
          <t>C. ESTE</t>
        </is>
      </c>
      <c r="M13" s="12" t="inlineStr">
        <is>
          <t>COSENO</t>
        </is>
      </c>
      <c r="N13" s="12" t="inlineStr">
        <is>
          <t>SENO</t>
        </is>
      </c>
      <c r="O13" s="9" t="n"/>
      <c r="P13" s="9" t="n"/>
      <c r="Q13" s="7" t="n"/>
      <c r="R13" s="7" t="n"/>
      <c r="S13" s="7" t="n"/>
      <c r="T13" s="13" t="n"/>
    </row>
    <row r="14" ht="15" customHeight="1">
      <c r="A14" s="1" t="n"/>
      <c r="B14" s="1" t="n"/>
      <c r="C14" s="6" t="n"/>
      <c r="D14" s="14" t="n"/>
      <c r="E14" s="14" t="inlineStr">
        <is>
          <t>14_IS1</t>
        </is>
      </c>
      <c r="F14" s="15" t="n"/>
      <c r="G14" s="16" t="n">
        <v>35.00222777777778</v>
      </c>
      <c r="H14" s="14" t="n"/>
      <c r="I14" s="14" t="n"/>
      <c r="J14" s="14" t="n"/>
      <c r="K14" s="15" t="n"/>
      <c r="L14" s="15" t="n"/>
      <c r="M14" s="129" t="n"/>
      <c r="N14" s="17" t="n"/>
      <c r="O14" s="9" t="n"/>
      <c r="P14" s="18" t="n"/>
      <c r="Q14" s="7" t="n"/>
      <c r="R14" s="7" t="n"/>
      <c r="S14" s="7" t="n"/>
      <c r="T14" s="19" t="n"/>
    </row>
    <row r="15">
      <c r="A15" s="1" t="n"/>
      <c r="B15" s="1" t="n"/>
      <c r="C15" s="6" t="n"/>
      <c r="D15" s="14" t="inlineStr">
        <is>
          <t>Famarena_5</t>
        </is>
      </c>
      <c r="E15" s="14" t="n"/>
      <c r="F15" s="15" t="n"/>
      <c r="G15" s="15" t="n"/>
      <c r="H15" s="15" t="n"/>
      <c r="I15" s="14" t="n"/>
      <c r="J15" s="14" t="n"/>
      <c r="K15" s="20" t="n">
        <v>100139.844</v>
      </c>
      <c r="L15" s="20" t="n">
        <v>101491.444</v>
      </c>
      <c r="M15" s="129" t="n"/>
      <c r="N15" s="17" t="n"/>
      <c r="O15" s="9" t="n"/>
      <c r="P15" s="9" t="n"/>
      <c r="Q15" s="7" t="n"/>
      <c r="R15" s="7" t="n"/>
      <c r="S15" s="7" t="n"/>
      <c r="T15" s="21" t="n"/>
    </row>
    <row r="16">
      <c r="A16" s="1" t="n"/>
      <c r="B16" s="1" t="n"/>
      <c r="C16" s="6" t="n"/>
      <c r="D16" s="14" t="inlineStr">
        <is>
          <t>D1</t>
        </is>
      </c>
      <c r="E16" s="14" t="n"/>
      <c r="F16" s="22" t="n">
        <v>97.77555555555556</v>
      </c>
      <c r="G16" s="22" t="n">
        <v>132.7777833333333</v>
      </c>
      <c r="H16" s="23" t="n">
        <v>32.957</v>
      </c>
      <c r="I16" s="15">
        <f>M16*H16</f>
        <v/>
      </c>
      <c r="J16" s="15">
        <f>N16*H16</f>
        <v/>
      </c>
      <c r="K16" s="15">
        <f>K15+I16</f>
        <v/>
      </c>
      <c r="L16" s="15">
        <f>L15+J16</f>
        <v/>
      </c>
      <c r="M16" s="130">
        <f>COS(RADIANS(G16))</f>
        <v/>
      </c>
      <c r="N16" s="130">
        <f>SIN(RADIANS(G16))</f>
        <v/>
      </c>
      <c r="O16" s="9" t="n"/>
      <c r="P16" s="9" t="n"/>
      <c r="Q16" s="7" t="n"/>
      <c r="R16" s="7" t="n"/>
      <c r="S16" s="7" t="n"/>
      <c r="T16" s="19" t="n"/>
    </row>
    <row r="17">
      <c r="A17" s="1" t="n"/>
      <c r="B17" s="1" t="n"/>
      <c r="C17" s="6" t="n"/>
      <c r="D17" s="14" t="inlineStr">
        <is>
          <t>D2</t>
        </is>
      </c>
      <c r="E17" s="14" t="n"/>
      <c r="F17" s="22" t="n">
        <v>155.3869444444444</v>
      </c>
      <c r="G17" s="22" t="n">
        <v>108.1650555556</v>
      </c>
      <c r="H17" s="23" t="n">
        <v>13.76</v>
      </c>
      <c r="I17" s="15">
        <f>M17*H17</f>
        <v/>
      </c>
      <c r="J17" s="15">
        <f>N17*H17</f>
        <v/>
      </c>
      <c r="K17" s="15">
        <f>K16+I17</f>
        <v/>
      </c>
      <c r="L17" s="15">
        <f>L16+J17</f>
        <v/>
      </c>
      <c r="M17" s="130">
        <f>COS(RADIANS(G17))</f>
        <v/>
      </c>
      <c r="N17" s="130">
        <f>SIN(RADIANS(G17))</f>
        <v/>
      </c>
      <c r="O17" s="9" t="n"/>
      <c r="P17" s="9" t="n"/>
      <c r="Q17" s="7" t="n"/>
      <c r="R17" s="7" t="n"/>
      <c r="S17" s="7" t="n"/>
      <c r="T17" s="21" t="n"/>
    </row>
    <row r="18">
      <c r="A18" s="1" t="n"/>
      <c r="B18" s="1" t="n"/>
      <c r="C18" s="6" t="n"/>
      <c r="D18" s="14" t="inlineStr">
        <is>
          <t>D3</t>
        </is>
      </c>
      <c r="E18" s="14" t="n"/>
      <c r="F18" s="22" t="n">
        <v>109.3777777777778</v>
      </c>
      <c r="G18" s="22" t="n">
        <v>37.543</v>
      </c>
      <c r="H18" s="23" t="n">
        <v>87.10299999999999</v>
      </c>
      <c r="I18" s="15">
        <f>M18*H18</f>
        <v/>
      </c>
      <c r="J18" s="15">
        <f>N18*H18</f>
        <v/>
      </c>
      <c r="K18" s="15">
        <f>K17+I18</f>
        <v/>
      </c>
      <c r="L18" s="15">
        <f>L17+J18</f>
        <v/>
      </c>
      <c r="M18" s="130">
        <f>COS(RADIANS(G18))</f>
        <v/>
      </c>
      <c r="N18" s="130">
        <f>SIN(RADIANS(G18))</f>
        <v/>
      </c>
      <c r="O18" s="9" t="n"/>
      <c r="P18" s="6" t="n"/>
      <c r="Q18" s="7" t="n"/>
      <c r="R18" s="7" t="n"/>
      <c r="S18" s="7" t="n"/>
      <c r="T18" s="7" t="n"/>
    </row>
    <row r="19" ht="15.75" customHeight="1">
      <c r="A19" s="1" t="n"/>
      <c r="B19" s="1" t="n"/>
      <c r="C19" s="6" t="n"/>
      <c r="D19" s="14" t="inlineStr">
        <is>
          <t>D4</t>
        </is>
      </c>
      <c r="E19" s="14" t="n"/>
      <c r="F19" s="22" t="n">
        <v>79.26722222222222</v>
      </c>
      <c r="G19" s="22" t="n">
        <v>296.8103888889</v>
      </c>
      <c r="H19" s="23" t="n">
        <v>25.846</v>
      </c>
      <c r="I19" s="15">
        <f>M19*H19</f>
        <v/>
      </c>
      <c r="J19" s="15">
        <f>N19*H19</f>
        <v/>
      </c>
      <c r="K19" s="15">
        <f>K18+I19</f>
        <v/>
      </c>
      <c r="L19" s="15">
        <f>L18+J19</f>
        <v/>
      </c>
      <c r="M19" s="130">
        <f>COS(RADIANS(G19))</f>
        <v/>
      </c>
      <c r="N19" s="130">
        <f>SIN(RADIANS(G19))</f>
        <v/>
      </c>
      <c r="O19" s="9" t="n"/>
      <c r="P19" s="6" t="n"/>
      <c r="Q19" s="7" t="n"/>
      <c r="R19" s="7" t="n"/>
      <c r="S19" s="7" t="n"/>
      <c r="T19" s="7" t="n"/>
    </row>
    <row r="20" ht="15.75" customHeight="1">
      <c r="A20" s="1" t="n"/>
      <c r="B20" s="1" t="n"/>
      <c r="C20" s="6" t="n"/>
      <c r="D20" s="14" t="inlineStr">
        <is>
          <t>Famarena_5</t>
        </is>
      </c>
      <c r="E20" s="14" t="n"/>
      <c r="F20" s="22" t="n">
        <v>114.4038888888889</v>
      </c>
      <c r="G20" s="22" t="n">
        <v>231.2136166666667</v>
      </c>
      <c r="H20" s="23" t="n">
        <v>86.295</v>
      </c>
      <c r="I20" s="15">
        <f>M20*H20</f>
        <v/>
      </c>
      <c r="J20" s="15">
        <f>N20*H20</f>
        <v/>
      </c>
      <c r="K20" s="23">
        <f>K19+I20</f>
        <v/>
      </c>
      <c r="L20" s="23">
        <f>L19+J20</f>
        <v/>
      </c>
      <c r="M20" s="130">
        <f>COS(RADIANS(G20))</f>
        <v/>
      </c>
      <c r="N20" s="130">
        <f>SIN(RADIANS(G20))</f>
        <v/>
      </c>
      <c r="O20" s="9" t="n"/>
      <c r="P20" s="6" t="n"/>
      <c r="Q20" s="7" t="n"/>
      <c r="R20" s="7" t="n"/>
      <c r="S20" s="7" t="n"/>
      <c r="T20" s="7" t="n"/>
    </row>
    <row r="21" ht="15.75" customHeight="1">
      <c r="A21" s="1" t="n"/>
      <c r="B21" s="1" t="n"/>
      <c r="C21" s="6" t="n"/>
      <c r="D21" s="14" t="n"/>
      <c r="E21" s="14" t="inlineStr">
        <is>
          <t>D1</t>
        </is>
      </c>
      <c r="F21" s="22" t="n">
        <v>81.56305555555556</v>
      </c>
      <c r="G21" s="22" t="n">
        <v>132.7766722222222</v>
      </c>
      <c r="H21" s="23" t="n">
        <v>32.956</v>
      </c>
      <c r="I21" s="15">
        <f>M21*H21</f>
        <v/>
      </c>
      <c r="J21" s="15">
        <f>N21*H21</f>
        <v/>
      </c>
      <c r="K21" s="23">
        <f>K20+I21</f>
        <v/>
      </c>
      <c r="L21" s="23">
        <f>L20+J21</f>
        <v/>
      </c>
      <c r="M21" s="130">
        <f>COS(RADIANS(G21))</f>
        <v/>
      </c>
      <c r="N21" s="130">
        <f>SIN(RADIANS(G21))</f>
        <v/>
      </c>
      <c r="O21" s="9" t="n"/>
      <c r="P21" s="25" t="n"/>
      <c r="Q21" s="7" t="n"/>
      <c r="R21" s="7" t="n"/>
      <c r="S21" s="7" t="n"/>
      <c r="T21" s="7" t="n"/>
    </row>
    <row r="22" ht="15.75" customHeight="1">
      <c r="A22" s="1" t="n"/>
      <c r="B22" s="1" t="n"/>
      <c r="C22" s="6" t="n"/>
      <c r="D22" s="14" t="n"/>
      <c r="E22" s="14" t="n"/>
      <c r="F22" s="26" t="n"/>
      <c r="G22" s="27">
        <f>G16-G21</f>
        <v/>
      </c>
      <c r="H22" s="15" t="n"/>
      <c r="I22" s="15" t="n"/>
      <c r="J22" s="15" t="n"/>
      <c r="K22" s="15" t="n"/>
      <c r="L22" s="15" t="n"/>
      <c r="M22" s="130" t="n"/>
      <c r="N22" s="28" t="n"/>
      <c r="O22" s="9" t="n"/>
      <c r="P22" s="6" t="n"/>
      <c r="Q22" s="7" t="n"/>
      <c r="R22" s="7" t="n"/>
      <c r="S22" s="7" t="n"/>
      <c r="T22" s="7" t="n"/>
    </row>
    <row r="23" ht="15.75" customHeight="1">
      <c r="A23" s="1" t="n"/>
      <c r="B23" s="6" t="n"/>
      <c r="C23" s="6" t="n"/>
      <c r="D23" s="6" t="n"/>
      <c r="E23" s="29" t="n"/>
      <c r="F23" s="30" t="n"/>
      <c r="G23" s="18" t="n"/>
      <c r="H23" s="18" t="n"/>
      <c r="I23" s="18" t="n"/>
      <c r="J23" s="18" t="n"/>
      <c r="K23" s="18" t="n"/>
      <c r="L23" s="28" t="n"/>
      <c r="M23" s="28" t="n"/>
      <c r="N23" s="9" t="n"/>
      <c r="O23" s="6" t="n"/>
      <c r="P23" s="7" t="n"/>
      <c r="Q23" s="7" t="n"/>
      <c r="R23" s="7" t="n"/>
      <c r="S23" s="7" t="n"/>
    </row>
    <row r="24" ht="15.75" customHeight="1">
      <c r="A24" s="1" t="n"/>
      <c r="B24" s="9" t="n"/>
      <c r="C24" s="6" t="n"/>
      <c r="D24" s="1" t="n"/>
      <c r="E24" s="31" t="inlineStr">
        <is>
          <t>∑= Ang</t>
        </is>
      </c>
      <c r="F24" s="32">
        <f>SUM(F17:F21)</f>
        <v/>
      </c>
      <c r="G24" s="33" t="n"/>
      <c r="H24" s="31" t="inlineStr">
        <is>
          <t>∑= Proyec</t>
        </is>
      </c>
      <c r="I24" s="34">
        <f>SUM(I17:I21)</f>
        <v/>
      </c>
      <c r="J24" s="34">
        <f>SUM(J17:J21)</f>
        <v/>
      </c>
      <c r="K24" s="35" t="n"/>
      <c r="L24" s="6" t="n"/>
      <c r="M24" s="6" t="n"/>
      <c r="N24" s="6" t="n"/>
      <c r="O24" s="6" t="n"/>
      <c r="P24" s="7" t="n"/>
      <c r="Q24" s="7" t="n"/>
      <c r="R24" s="7" t="n"/>
      <c r="S24" s="7" t="n"/>
    </row>
    <row r="25" ht="15.75" customHeight="1">
      <c r="A25" s="1" t="n"/>
      <c r="B25" s="6" t="n"/>
      <c r="C25" s="6" t="n"/>
      <c r="D25" s="1" t="n"/>
      <c r="E25" s="20" t="inlineStr">
        <is>
          <t>e Teorico</t>
        </is>
      </c>
      <c r="F25" s="36">
        <f>(5-2)*180</f>
        <v/>
      </c>
      <c r="G25" s="33" t="n"/>
      <c r="H25" s="33" t="n"/>
      <c r="I25" s="33" t="n"/>
      <c r="J25" s="33" t="n"/>
      <c r="K25" s="18" t="n"/>
      <c r="L25" s="6" t="n"/>
      <c r="M25" s="6" t="n"/>
      <c r="N25" s="6" t="n"/>
      <c r="O25" s="6" t="n"/>
      <c r="P25" s="7" t="n"/>
      <c r="Q25" s="7" t="n"/>
      <c r="R25" s="37" t="n"/>
      <c r="S25" s="38" t="n"/>
    </row>
    <row r="26" ht="15.75" customHeight="1">
      <c r="A26" s="1" t="n"/>
      <c r="B26" s="6" t="n"/>
      <c r="C26" s="6" t="n"/>
      <c r="D26" s="1" t="n"/>
      <c r="E26" s="39" t="inlineStr">
        <is>
          <t>e =</t>
        </is>
      </c>
      <c r="F26" s="40">
        <f>F24-F25</f>
        <v/>
      </c>
      <c r="G26" s="31">
        <f>RADIANS(F26)</f>
        <v/>
      </c>
      <c r="H26" s="41" t="n"/>
      <c r="I26" s="41" t="n"/>
      <c r="J26" s="33" t="n"/>
      <c r="K26" s="1" t="n"/>
      <c r="L26" s="6" t="n"/>
      <c r="M26" s="6" t="n"/>
      <c r="N26" s="6" t="n"/>
      <c r="O26" s="6" t="n"/>
      <c r="P26" s="7" t="n"/>
      <c r="Q26" s="42" t="n"/>
      <c r="R26" s="7" t="n"/>
      <c r="S26" s="7" t="n"/>
    </row>
    <row r="27" ht="15.75" customHeight="1">
      <c r="A27" s="1" t="n"/>
      <c r="B27" s="1" t="n"/>
      <c r="C27" s="1" t="n"/>
      <c r="D27" s="1" t="n"/>
      <c r="E27" s="41" t="n"/>
      <c r="F27" s="43" t="n">
        <v>3</v>
      </c>
      <c r="G27" s="20" t="inlineStr">
        <is>
          <t>segundos</t>
        </is>
      </c>
      <c r="H27" s="96" t="n"/>
      <c r="I27" s="97">
        <f>INT(G22)</f>
        <v/>
      </c>
      <c r="J27" s="96">
        <f>INT(((G22-I27)*60))</f>
        <v/>
      </c>
      <c r="K27" s="96">
        <f>INT(((G22-I27)*60-J27)*60)</f>
        <v/>
      </c>
      <c r="L27" s="1" t="n"/>
      <c r="M27" s="1" t="n"/>
      <c r="N27" s="6" t="n"/>
      <c r="O27" s="6" t="n"/>
      <c r="P27" s="7" t="n"/>
      <c r="Q27" s="7" t="n"/>
      <c r="R27" s="44" t="n"/>
      <c r="S27" s="38" t="n"/>
    </row>
    <row r="28" ht="15.75" customHeight="1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6" t="n"/>
      <c r="O28" s="6" t="n"/>
      <c r="P28" s="7" t="n"/>
      <c r="Q28" s="7" t="n"/>
      <c r="R28" s="37" t="n"/>
      <c r="S28" s="7" t="n"/>
    </row>
    <row r="29" ht="15.75" customHeight="1">
      <c r="A29" s="1" t="n"/>
      <c r="B29" s="103" t="inlineStr">
        <is>
          <t>M-CONDICIÓN</t>
        </is>
      </c>
      <c r="C29" s="152" t="n"/>
      <c r="D29" s="152" t="n"/>
      <c r="E29" s="152" t="n"/>
      <c r="F29" s="152" t="n"/>
      <c r="G29" s="152" t="n"/>
      <c r="H29" s="152" t="n"/>
      <c r="I29" s="152" t="n"/>
      <c r="J29" s="152" t="n"/>
      <c r="K29" s="152" t="n"/>
      <c r="L29" s="152" t="n"/>
      <c r="M29" s="152" t="n"/>
      <c r="N29" s="153" t="n"/>
      <c r="O29" s="6" t="n"/>
      <c r="P29" s="7" t="n"/>
      <c r="Q29" s="44" t="n"/>
      <c r="R29" s="38" t="n"/>
    </row>
    <row r="30" ht="15.75" customHeight="1">
      <c r="A30" s="1" t="n"/>
      <c r="B30" s="154" t="inlineStr">
        <is>
          <t>Angulos</t>
        </is>
      </c>
      <c r="C30" s="145" t="n"/>
      <c r="D30" s="145" t="n"/>
      <c r="E30" s="145" t="n"/>
      <c r="F30" s="145" t="n"/>
      <c r="G30" s="145" t="n"/>
      <c r="H30" s="146" t="n"/>
      <c r="I30" s="154" t="inlineStr">
        <is>
          <t>Distancias</t>
        </is>
      </c>
      <c r="J30" s="145" t="n"/>
      <c r="K30" s="145" t="n"/>
      <c r="L30" s="145" t="n"/>
      <c r="M30" s="145" t="n"/>
      <c r="N30" s="146" t="n"/>
      <c r="O30" s="6" t="n"/>
      <c r="P30" s="7" t="n"/>
      <c r="Q30" s="7" t="n"/>
      <c r="R30" s="45" t="n"/>
      <c r="S30" s="7" t="n"/>
      <c r="T30" s="7" t="n"/>
    </row>
    <row r="31" ht="15.75" customHeight="1">
      <c r="A31" s="1" t="n"/>
      <c r="B31" s="46" t="n">
        <v>1</v>
      </c>
      <c r="C31" s="46" t="n">
        <v>1</v>
      </c>
      <c r="D31" s="46" t="n">
        <v>1</v>
      </c>
      <c r="E31" s="46" t="n">
        <v>1</v>
      </c>
      <c r="F31" s="46" t="n">
        <v>1</v>
      </c>
      <c r="G31" s="46" t="n">
        <v>1</v>
      </c>
      <c r="H31" s="46" t="n">
        <v>1</v>
      </c>
      <c r="I31" s="46" t="n">
        <v>0</v>
      </c>
      <c r="J31" s="46" t="n">
        <v>0</v>
      </c>
      <c r="K31" s="46" t="n">
        <v>0</v>
      </c>
      <c r="L31" s="46" t="n">
        <v>0</v>
      </c>
      <c r="M31" s="46" t="n">
        <v>0</v>
      </c>
      <c r="N31" s="46" t="n">
        <v>0</v>
      </c>
      <c r="O31" s="6" t="n"/>
      <c r="P31" s="7" t="n"/>
      <c r="Q31" s="7" t="n"/>
      <c r="R31" s="42" t="n"/>
      <c r="S31" s="7" t="n"/>
      <c r="T31" s="7" t="n"/>
    </row>
    <row r="32" ht="15.75" customHeight="1">
      <c r="A32" s="1" t="n"/>
      <c r="B32" s="46">
        <f>SUM(J16:J21)*-1</f>
        <v/>
      </c>
      <c r="C32" s="46">
        <f>SUM(J17:J21)*-1</f>
        <v/>
      </c>
      <c r="D32" s="46">
        <f>SUM(J18:J21)*-1</f>
        <v/>
      </c>
      <c r="E32" s="46">
        <f>+SUM(J19:J21)*-1</f>
        <v/>
      </c>
      <c r="F32" s="46">
        <f>+SUM(J20:J21)*-1</f>
        <v/>
      </c>
      <c r="G32" s="46">
        <f>SUM(J21)*-1</f>
        <v/>
      </c>
      <c r="H32" s="46" t="n">
        <v>0</v>
      </c>
      <c r="I32" s="47">
        <f>M16</f>
        <v/>
      </c>
      <c r="J32" s="47">
        <f>+M17</f>
        <v/>
      </c>
      <c r="K32" s="47">
        <f>+M18</f>
        <v/>
      </c>
      <c r="L32" s="47">
        <f>+M19</f>
        <v/>
      </c>
      <c r="M32" s="47">
        <f>+M20</f>
        <v/>
      </c>
      <c r="N32" s="47">
        <f>+M21</f>
        <v/>
      </c>
      <c r="O32" s="6" t="n"/>
      <c r="P32" s="7" t="n"/>
      <c r="Q32" s="7" t="n"/>
      <c r="R32" s="7" t="n"/>
      <c r="S32" s="7" t="n"/>
      <c r="T32" s="7" t="n"/>
    </row>
    <row r="33" ht="15.75" customHeight="1">
      <c r="A33" s="1" t="n"/>
      <c r="B33" s="46">
        <f>SUM(I16:I21)</f>
        <v/>
      </c>
      <c r="C33" s="46">
        <f>SUM(I17:I21)</f>
        <v/>
      </c>
      <c r="D33" s="46">
        <f>+SUM(I18:I21)</f>
        <v/>
      </c>
      <c r="E33" s="46">
        <f>+SUM(I19:I21)</f>
        <v/>
      </c>
      <c r="F33" s="46">
        <f>SUM(I20:I21)</f>
        <v/>
      </c>
      <c r="G33" s="46">
        <f>I21</f>
        <v/>
      </c>
      <c r="H33" s="46" t="n">
        <v>0</v>
      </c>
      <c r="I33" s="47">
        <f>N16</f>
        <v/>
      </c>
      <c r="J33" s="47">
        <f>+N17</f>
        <v/>
      </c>
      <c r="K33" s="47">
        <f>+N18</f>
        <v/>
      </c>
      <c r="L33" s="47">
        <f>+N19</f>
        <v/>
      </c>
      <c r="M33" s="47">
        <f>+N20</f>
        <v/>
      </c>
      <c r="N33" s="47">
        <f>+N21</f>
        <v/>
      </c>
      <c r="O33" s="1" t="n"/>
    </row>
    <row r="34" ht="15.75" customHeight="1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</row>
    <row r="35" ht="15.75" customHeight="1">
      <c r="A35" s="1" t="n"/>
      <c r="B35" s="155" t="inlineStr">
        <is>
          <t>ponderacion ang</t>
        </is>
      </c>
      <c r="C35" s="149" t="n"/>
      <c r="D35" s="1" t="n"/>
      <c r="E35" s="155" t="inlineStr">
        <is>
          <t>Ponderacion de distancias</t>
        </is>
      </c>
      <c r="F35" s="149" t="n"/>
      <c r="G35" s="1" t="n"/>
      <c r="H35" s="156" t="inlineStr">
        <is>
          <t>k matriz de errores</t>
        </is>
      </c>
      <c r="I35" s="149" t="n"/>
      <c r="J35" s="1" t="n"/>
      <c r="K35" s="1" t="n"/>
      <c r="L35" s="1" t="n"/>
      <c r="M35" s="1" t="n"/>
      <c r="N35" s="1" t="n"/>
      <c r="O35" s="1" t="n"/>
    </row>
    <row r="36" ht="15.75" customHeight="1">
      <c r="A36" s="1" t="n"/>
      <c r="B36" s="46" t="inlineStr">
        <is>
          <t>K-Ang</t>
        </is>
      </c>
      <c r="C36" s="48">
        <f>360*60*60/(2*PI())</f>
        <v/>
      </c>
      <c r="D36" s="1" t="n"/>
      <c r="E36" s="49" t="inlineStr">
        <is>
          <t># Med</t>
        </is>
      </c>
      <c r="F36" s="48" t="n">
        <v>2</v>
      </c>
      <c r="G36" s="1" t="n"/>
      <c r="H36" s="46" t="inlineStr">
        <is>
          <t>e-ang</t>
        </is>
      </c>
      <c r="I36" s="46">
        <f>G26*-1</f>
        <v/>
      </c>
      <c r="J36" s="1" t="n"/>
      <c r="K36" s="1" t="n"/>
      <c r="L36" s="1" t="n"/>
      <c r="M36" s="1" t="n"/>
      <c r="N36" s="1" t="n"/>
      <c r="O36" s="1" t="n"/>
    </row>
    <row r="37" ht="15.75" customHeight="1">
      <c r="A37" s="1" t="n"/>
      <c r="B37" s="46" t="inlineStr">
        <is>
          <t>presci</t>
        </is>
      </c>
      <c r="C37" s="46" t="n">
        <v>2</v>
      </c>
      <c r="D37" s="1" t="n"/>
      <c r="E37" s="49" t="inlineStr">
        <is>
          <t>Error</t>
        </is>
      </c>
      <c r="F37" s="48" t="n">
        <v>0.011</v>
      </c>
      <c r="G37" s="1" t="n"/>
      <c r="H37" s="46" t="inlineStr">
        <is>
          <t>e-pn</t>
        </is>
      </c>
      <c r="I37" s="46">
        <f>I24*-1</f>
        <v/>
      </c>
      <c r="J37" s="1" t="n"/>
      <c r="K37" s="1" t="n"/>
      <c r="L37" s="1" t="n"/>
      <c r="M37" s="1" t="n"/>
      <c r="N37" s="1" t="n"/>
      <c r="O37" s="1" t="n"/>
    </row>
    <row r="38" ht="15.75" customHeight="1">
      <c r="A38" s="1" t="n"/>
      <c r="B38" s="46" t="inlineStr">
        <is>
          <t>pon_ang</t>
        </is>
      </c>
      <c r="C38" s="50">
        <f>C36/C37</f>
        <v/>
      </c>
      <c r="D38" s="1" t="n"/>
      <c r="E38" s="49" t="inlineStr">
        <is>
          <t>Pon_dis</t>
        </is>
      </c>
      <c r="F38" s="51">
        <f>+SQRT(F36)/F37</f>
        <v/>
      </c>
      <c r="G38" s="1" t="n"/>
      <c r="H38" s="46" t="inlineStr">
        <is>
          <t>e-pe</t>
        </is>
      </c>
      <c r="I38" s="46">
        <f>J24*-1</f>
        <v/>
      </c>
      <c r="J38" s="1" t="n"/>
      <c r="K38" s="1" t="n"/>
      <c r="L38" s="1" t="n"/>
      <c r="M38" s="1" t="n"/>
      <c r="N38" s="1" t="n"/>
      <c r="O38" s="1" t="n"/>
    </row>
    <row r="39" ht="15.75" customHeight="1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</row>
    <row r="40" ht="15.75" customHeigh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</row>
    <row r="41" ht="15.75" customHeight="1">
      <c r="A41" s="1" t="n"/>
      <c r="B41" s="56" t="inlineStr">
        <is>
          <t>Matris A</t>
        </is>
      </c>
      <c r="C41" s="150" t="n"/>
      <c r="D41" s="150" t="n"/>
      <c r="E41" s="150" t="n"/>
      <c r="F41" s="150" t="n"/>
      <c r="G41" s="150" t="n"/>
      <c r="H41" s="150" t="n"/>
      <c r="I41" s="150" t="n"/>
      <c r="J41" s="150" t="n"/>
      <c r="K41" s="150" t="n"/>
      <c r="L41" s="150" t="n"/>
      <c r="M41" s="150" t="n"/>
      <c r="N41" s="149" t="n"/>
      <c r="O41" s="1" t="n"/>
    </row>
    <row r="42" ht="15.75" customHeight="1">
      <c r="A42" s="1" t="n"/>
      <c r="B42" s="157" t="inlineStr">
        <is>
          <t>Angulos</t>
        </is>
      </c>
      <c r="C42" s="150" t="n"/>
      <c r="D42" s="150" t="n"/>
      <c r="E42" s="150" t="n"/>
      <c r="F42" s="150" t="n"/>
      <c r="G42" s="150" t="n"/>
      <c r="H42" s="149" t="n"/>
      <c r="I42" s="157" t="inlineStr">
        <is>
          <t>Distancias</t>
        </is>
      </c>
      <c r="J42" s="150" t="n"/>
      <c r="K42" s="150" t="n"/>
      <c r="L42" s="150" t="n"/>
      <c r="M42" s="150" t="n"/>
      <c r="N42" s="149" t="n"/>
      <c r="O42" s="1" t="n"/>
    </row>
    <row r="43" ht="15.75" customHeight="1">
      <c r="A43" s="1" t="n"/>
      <c r="B43" s="158">
        <f>B31/$C$38</f>
        <v/>
      </c>
      <c r="C43" s="52">
        <f>C31/$C$38</f>
        <v/>
      </c>
      <c r="D43" s="52">
        <f>D31/$C$38</f>
        <v/>
      </c>
      <c r="E43" s="52">
        <f>E31/$C$38</f>
        <v/>
      </c>
      <c r="F43" s="52">
        <f>F31/$C$38</f>
        <v/>
      </c>
      <c r="G43" s="52">
        <f>G31/$C$38</f>
        <v/>
      </c>
      <c r="H43" s="52">
        <f>H31/$C$38</f>
        <v/>
      </c>
      <c r="I43" s="46">
        <f>I31/$F$38</f>
        <v/>
      </c>
      <c r="J43" s="46">
        <f>J31/$F$38</f>
        <v/>
      </c>
      <c r="K43" s="46">
        <f>K31/$F$38</f>
        <v/>
      </c>
      <c r="L43" s="46">
        <f>L31/$F$38</f>
        <v/>
      </c>
      <c r="M43" s="46">
        <f>M31/$F$38</f>
        <v/>
      </c>
      <c r="N43" s="46">
        <f>N31/$F$38</f>
        <v/>
      </c>
      <c r="O43" s="1" t="n"/>
    </row>
    <row r="44" ht="15.75" customHeight="1">
      <c r="A44" s="1" t="n"/>
      <c r="B44" s="158">
        <f>B32/$C$38</f>
        <v/>
      </c>
      <c r="C44" s="52">
        <f>C32/$C$38</f>
        <v/>
      </c>
      <c r="D44" s="52">
        <f>D32/$C$38</f>
        <v/>
      </c>
      <c r="E44" s="52">
        <f>E32/$C$38</f>
        <v/>
      </c>
      <c r="F44" s="52">
        <f>F32/$C$38</f>
        <v/>
      </c>
      <c r="G44" s="52">
        <f>G32/$C$38</f>
        <v/>
      </c>
      <c r="H44" s="53">
        <f>H32/$C$38</f>
        <v/>
      </c>
      <c r="I44" s="46">
        <f>I32/$F$38</f>
        <v/>
      </c>
      <c r="J44" s="46">
        <f>J32/$F$38</f>
        <v/>
      </c>
      <c r="K44" s="54">
        <f>K32/$F$38</f>
        <v/>
      </c>
      <c r="L44" s="46">
        <f>L32/$F$38</f>
        <v/>
      </c>
      <c r="M44" s="46">
        <f>M32/$F$38</f>
        <v/>
      </c>
      <c r="N44" s="54">
        <f>N32/$F$38</f>
        <v/>
      </c>
      <c r="O44" s="1" t="n"/>
    </row>
    <row r="45" ht="15.75" customHeight="1">
      <c r="A45" s="1" t="n"/>
      <c r="B45" s="158">
        <f>B33/$C$38</f>
        <v/>
      </c>
      <c r="C45" s="52">
        <f>C33/$C$38</f>
        <v/>
      </c>
      <c r="D45" s="52">
        <f>D33/$C$38</f>
        <v/>
      </c>
      <c r="E45" s="52">
        <f>E33/$C$38</f>
        <v/>
      </c>
      <c r="F45" s="52">
        <f>F33/$C$38</f>
        <v/>
      </c>
      <c r="G45" s="52">
        <f>G33/$C$38</f>
        <v/>
      </c>
      <c r="H45" s="53">
        <f>H33/$C$38</f>
        <v/>
      </c>
      <c r="I45" s="46">
        <f>I33/$F$38</f>
        <v/>
      </c>
      <c r="J45" s="46">
        <f>J33/$F$38</f>
        <v/>
      </c>
      <c r="K45" s="54">
        <f>K33/$F$38</f>
        <v/>
      </c>
      <c r="L45" s="55">
        <f>L33/$F$38</f>
        <v/>
      </c>
      <c r="M45" s="46">
        <f>M33/$F$38</f>
        <v/>
      </c>
      <c r="N45" s="54">
        <f>N33/$F$38</f>
        <v/>
      </c>
      <c r="O45" s="1" t="n"/>
    </row>
    <row r="46" ht="15.75" customHeigh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</row>
    <row r="47" ht="15.75" customHeight="1">
      <c r="A47" s="1" t="n"/>
      <c r="B47" s="1" t="n"/>
      <c r="C47" s="56" t="inlineStr">
        <is>
          <t>A-trans</t>
        </is>
      </c>
      <c r="D47" s="150" t="n"/>
      <c r="E47" s="149" t="n"/>
      <c r="F47" s="1" t="n"/>
      <c r="G47" s="56" t="inlineStr">
        <is>
          <t>Matriz B</t>
        </is>
      </c>
      <c r="H47" s="150" t="n"/>
      <c r="I47" s="149" t="n"/>
      <c r="J47" s="1" t="n"/>
      <c r="K47" s="56" t="inlineStr">
        <is>
          <t>R=AT*C</t>
        </is>
      </c>
      <c r="L47" s="138" t="inlineStr">
        <is>
          <t>ponderacion</t>
        </is>
      </c>
      <c r="M47" s="132" t="n"/>
      <c r="N47" s="137" t="inlineStr">
        <is>
          <t>Converción</t>
        </is>
      </c>
      <c r="O47" s="132" t="n"/>
      <c r="P47" s="98">
        <f>SUM(N48:N54)</f>
        <v/>
      </c>
      <c r="Q47" t="inlineStr">
        <is>
          <t>Debe llegar al error angular</t>
        </is>
      </c>
    </row>
    <row r="48" ht="15.75" customHeight="1">
      <c r="A48" s="1" t="n"/>
      <c r="B48" s="1" t="n"/>
      <c r="C48" s="52">
        <f t="array" ref="C48:E60">TRANSPOSE(B43:N45)</f>
        <v/>
      </c>
      <c r="D48" s="52" t="n">
        <v>-0.0002346273409491518</v>
      </c>
      <c r="E48" s="52" t="n">
        <v>-0.0002171008337781282</v>
      </c>
      <c r="F48" s="1" t="n"/>
      <c r="G48" s="46">
        <f t="array" ref="G48:I50">MMULT(B43:N45,C48:E60)</f>
        <v/>
      </c>
      <c r="H48" s="46" t="n">
        <v>6.947079499333346e-09</v>
      </c>
      <c r="I48" s="46" t="n">
        <v>-1.708454130340706e-08</v>
      </c>
      <c r="J48" s="1" t="n"/>
      <c r="K48" s="46">
        <f t="array" ref="K48:K60">MMULT(C48:E60,H58:H60)</f>
        <v/>
      </c>
      <c r="L48" s="159">
        <f>K48/$C$38</f>
        <v/>
      </c>
      <c r="M48" s="132" t="n"/>
      <c r="N48" s="135">
        <f>DEGREES(L48)</f>
        <v/>
      </c>
      <c r="O48" s="140" t="n"/>
      <c r="P48" s="57" t="n"/>
      <c r="Q48" s="58" t="n"/>
      <c r="R48" s="58" t="n"/>
    </row>
    <row r="49" ht="15.75" customHeight="1">
      <c r="A49" s="1" t="n"/>
      <c r="B49" s="1" t="n"/>
      <c r="C49" s="52" t="n">
        <v>9.69627362219072e-06</v>
      </c>
      <c r="D49" s="52" t="n">
        <v>-7.238716722637668e-08</v>
      </c>
      <c r="E49" s="52" t="n">
        <v>-6.94428966301314e-08</v>
      </c>
      <c r="F49" s="1" t="n"/>
      <c r="G49" s="46" t="n">
        <v>6.947079499333346e-09</v>
      </c>
      <c r="H49" s="46" t="n">
        <v>0.0001364860634715525</v>
      </c>
      <c r="I49" s="46" t="n">
        <v>-4.442683516971436e-05</v>
      </c>
      <c r="J49" s="1" t="n"/>
      <c r="K49" s="46" t="n">
        <v>0.2756760490769168</v>
      </c>
      <c r="L49" s="159">
        <f>K49/$C$38</f>
        <v/>
      </c>
      <c r="M49" s="132" t="n"/>
      <c r="N49" s="136">
        <f>DEGREES(L49)</f>
        <v/>
      </c>
      <c r="O49" s="132" t="n"/>
      <c r="P49" s="58" t="n"/>
      <c r="Q49" s="58" t="n"/>
      <c r="R49" s="58" t="n"/>
    </row>
    <row r="50" ht="15.75" customHeight="1">
      <c r="A50" s="1" t="n"/>
      <c r="B50" s="1" t="n"/>
      <c r="C50" s="52" t="n">
        <v>9.69627362219072e-06</v>
      </c>
      <c r="D50" s="52" t="n">
        <v>0.0001266989646817661</v>
      </c>
      <c r="E50" s="52" t="n">
        <v>4.15251988368548e-05</v>
      </c>
      <c r="F50" s="1" t="n"/>
      <c r="G50" s="46" t="n">
        <v>-1.708454130340706e-08</v>
      </c>
      <c r="H50" s="46" t="n">
        <v>-4.442683516971436e-05</v>
      </c>
      <c r="I50" s="46" t="n">
        <v>0.0002282656723411465</v>
      </c>
      <c r="J50" s="1" t="n"/>
      <c r="K50" s="46" t="n">
        <v>0.2803182098973844</v>
      </c>
      <c r="L50" s="159">
        <f>K50/$C$38</f>
        <v/>
      </c>
      <c r="M50" s="132" t="n"/>
      <c r="N50" s="135">
        <f>DEGREES(L50)</f>
        <v/>
      </c>
      <c r="O50" s="132" t="n"/>
      <c r="P50" s="58" t="n"/>
      <c r="Q50" s="58" t="n"/>
      <c r="R50" s="58" t="n"/>
    </row>
    <row r="51" ht="15.75" customHeight="1">
      <c r="A51" s="1" t="n"/>
      <c r="B51" s="1" t="n"/>
      <c r="C51" s="52" t="n">
        <v>9.69627362219072e-06</v>
      </c>
      <c r="D51" s="52" t="n">
        <v>0.0006413460762344369</v>
      </c>
      <c r="E51" s="52" t="n">
        <v>-0.0006281347690742645</v>
      </c>
      <c r="F51" s="1" t="n"/>
      <c r="G51" s="1" t="n"/>
      <c r="H51" s="1" t="n"/>
      <c r="I51" s="1" t="n"/>
      <c r="J51" s="1" t="n"/>
      <c r="K51" s="46" t="n">
        <v>0.3176469340734296</v>
      </c>
      <c r="L51" s="159">
        <f>K51/$C$38</f>
        <v/>
      </c>
      <c r="M51" s="132" t="n"/>
      <c r="N51" s="136">
        <f>DEGREES(L51)</f>
        <v/>
      </c>
      <c r="O51" s="132" t="n"/>
      <c r="P51" s="58" t="n"/>
      <c r="Q51" s="58" t="n"/>
      <c r="R51" s="58" t="n"/>
    </row>
    <row r="52" ht="15.75" customHeight="1">
      <c r="A52" s="1" t="n"/>
      <c r="B52" s="1" t="n"/>
      <c r="C52" s="52" t="n">
        <v>9.69627362219072e-06</v>
      </c>
      <c r="D52" s="52" t="n">
        <v>0.0004176757360588382</v>
      </c>
      <c r="E52" s="52" t="n">
        <v>-0.0007411696969006799</v>
      </c>
      <c r="F52" s="1" t="n"/>
      <c r="G52" s="56" t="inlineStr">
        <is>
          <t>B-INV</t>
        </is>
      </c>
      <c r="H52" s="150" t="n"/>
      <c r="I52" s="149" t="n"/>
      <c r="J52" s="1" t="n"/>
      <c r="K52" s="46" t="n">
        <v>0.3103304141381822</v>
      </c>
      <c r="L52" s="159">
        <f>K52/$C$38</f>
        <v/>
      </c>
      <c r="M52" s="132" t="n"/>
      <c r="N52" s="135">
        <f>DEGREES(L52)</f>
        <v/>
      </c>
      <c r="O52" s="132" t="n"/>
      <c r="P52" s="58" t="n"/>
      <c r="Q52" s="58" t="n"/>
      <c r="R52" s="58" t="n"/>
    </row>
    <row r="53" ht="15.75" customHeight="1">
      <c r="A53" s="1" t="n"/>
      <c r="B53" s="1" t="n"/>
      <c r="C53" s="52" t="n">
        <v>9.69627362219072e-06</v>
      </c>
      <c r="D53" s="52" t="n">
        <v>-0.0002345520454020792</v>
      </c>
      <c r="E53" s="52" t="n">
        <v>-0.0002170202570710378</v>
      </c>
      <c r="F53" s="1" t="n"/>
      <c r="G53" s="53">
        <f t="array" ref="G53:I55">MINVERSE(G48:I50)</f>
        <v/>
      </c>
      <c r="H53" s="46" t="n">
        <v>-43140.2821799728</v>
      </c>
      <c r="I53" s="46" t="n">
        <v>105567.6380938292</v>
      </c>
      <c r="J53" s="1" t="n"/>
      <c r="K53" s="46" t="n">
        <v>0.2701761128915869</v>
      </c>
      <c r="L53" s="159">
        <f>K53/$C$38</f>
        <v/>
      </c>
      <c r="M53" s="132" t="n"/>
      <c r="N53" s="134">
        <f>DEGREES(L53)</f>
        <v/>
      </c>
      <c r="O53" s="132" t="n"/>
      <c r="P53" s="58" t="n"/>
      <c r="Q53" s="58" t="n"/>
      <c r="R53" s="58" t="n"/>
    </row>
    <row r="54" ht="15.75" customHeight="1">
      <c r="A54" s="1" t="n"/>
      <c r="B54" s="1" t="n"/>
      <c r="C54" s="52" t="n">
        <v>9.69627362219072e-06</v>
      </c>
      <c r="D54" s="53" t="n">
        <v>0</v>
      </c>
      <c r="E54" s="53" t="n">
        <v>0</v>
      </c>
      <c r="F54" s="1" t="n"/>
      <c r="G54" s="46" t="n">
        <v>-43140.28217997008</v>
      </c>
      <c r="H54" s="46" t="n">
        <v>7823.538752376792</v>
      </c>
      <c r="I54" s="46" t="n">
        <v>1519.448943442611</v>
      </c>
      <c r="J54" s="1" t="n"/>
      <c r="K54" s="46" t="n">
        <v>0.2756776926024916</v>
      </c>
      <c r="L54" s="159">
        <f>K54/$C$38</f>
        <v/>
      </c>
      <c r="M54" s="132" t="n"/>
      <c r="N54" s="133">
        <f>DEGREES(L54)</f>
        <v/>
      </c>
      <c r="O54" s="132" t="n"/>
      <c r="P54" s="58" t="n"/>
      <c r="Q54" s="58" t="n"/>
      <c r="R54" s="58" t="n"/>
    </row>
    <row r="55" ht="15.75" customHeight="1">
      <c r="A55" s="1" t="n"/>
      <c r="B55" s="1" t="n"/>
      <c r="C55" s="46" t="n">
        <v>0</v>
      </c>
      <c r="D55" s="46" t="n">
        <v>-0.005282599750433445</v>
      </c>
      <c r="E55" s="46" t="n">
        <v>0.005709127768470459</v>
      </c>
      <c r="F55" s="1" t="n"/>
      <c r="G55" s="46" t="n">
        <v>105567.6380938397</v>
      </c>
      <c r="H55" s="46" t="n">
        <v>1519.44894344261</v>
      </c>
      <c r="I55" s="46" t="n">
        <v>4684.488348446638</v>
      </c>
      <c r="J55" s="1" t="n"/>
      <c r="K55" s="46" t="n">
        <v>-0.3574900962081256</v>
      </c>
      <c r="L55" s="132">
        <f>K55/$F$38</f>
        <v/>
      </c>
      <c r="M55" s="132" t="n"/>
      <c r="N55" s="60">
        <f>L55</f>
        <v/>
      </c>
      <c r="O55" s="132" t="n"/>
      <c r="P55" s="58">
        <f>ABS(N55)</f>
        <v/>
      </c>
      <c r="Q55" s="58" t="n"/>
      <c r="R55" s="58" t="n"/>
    </row>
    <row r="56" ht="15.75" customHeight="1">
      <c r="A56" s="1" t="n"/>
      <c r="B56" s="1" t="n"/>
      <c r="C56" s="46" t="n">
        <v>0</v>
      </c>
      <c r="D56" s="46" t="n">
        <v>-0.002424888527912274</v>
      </c>
      <c r="E56" s="46" t="n">
        <v>0.007390528778592194</v>
      </c>
      <c r="F56" s="1" t="n"/>
      <c r="G56" s="1" t="n"/>
      <c r="H56" s="1" t="n"/>
      <c r="I56" s="1" t="n"/>
      <c r="J56" s="1" t="n"/>
      <c r="K56" s="46" t="n">
        <v>-0.2692398837333732</v>
      </c>
      <c r="L56" s="132">
        <f>K56/$F$38</f>
        <v/>
      </c>
      <c r="M56" s="132" t="n"/>
      <c r="N56" s="60">
        <f>L56</f>
        <v/>
      </c>
      <c r="O56" s="132" t="n"/>
      <c r="P56" s="58">
        <f>ABS(N56)</f>
        <v/>
      </c>
      <c r="Q56" s="58" t="n"/>
      <c r="R56" s="58" t="n"/>
    </row>
    <row r="57" ht="15.75" customHeight="1">
      <c r="A57" s="1" t="n"/>
      <c r="B57" s="1" t="n"/>
      <c r="C57" s="46" t="n">
        <v>0</v>
      </c>
      <c r="D57" s="54" t="n">
        <v>0.006167285440115424</v>
      </c>
      <c r="E57" s="54" t="n">
        <v>0.004739682510478976</v>
      </c>
      <c r="F57" s="1" t="n"/>
      <c r="G57" s="1" t="n"/>
      <c r="H57" s="56" t="inlineStr">
        <is>
          <t>C=B(INV)*K</t>
        </is>
      </c>
      <c r="I57" s="1" t="n"/>
      <c r="J57" s="1" t="n"/>
      <c r="K57" s="46" t="n">
        <v>0.1659648695916249</v>
      </c>
      <c r="L57" s="132">
        <f>K57/$F$38</f>
        <v/>
      </c>
      <c r="M57" s="132" t="n"/>
      <c r="N57" s="60">
        <f>L57</f>
        <v/>
      </c>
      <c r="O57" s="132" t="n"/>
      <c r="P57" s="58">
        <f>ABS(N57)</f>
        <v/>
      </c>
      <c r="Q57" s="58" t="n"/>
      <c r="R57" s="58" t="n"/>
    </row>
    <row r="58" ht="15.75" customHeight="1">
      <c r="A58" s="1" t="n"/>
      <c r="B58" s="1" t="n"/>
      <c r="C58" s="46" t="n">
        <v>0</v>
      </c>
      <c r="D58" s="46" t="n">
        <v>0.003508263024360694</v>
      </c>
      <c r="E58" s="55" t="n">
        <v>-0.006942052329960035</v>
      </c>
      <c r="F58" s="1" t="n"/>
      <c r="G58" s="1" t="n"/>
      <c r="H58" s="50">
        <f t="array" ref="H58:H60">MMULT(G53:I55,I36:I38)</f>
        <v/>
      </c>
      <c r="I58" s="1" t="n"/>
      <c r="J58" s="1" t="n"/>
      <c r="K58" s="46" t="n">
        <v>0.3068610433774134</v>
      </c>
      <c r="L58" s="132">
        <f>K58/$F$38</f>
        <v/>
      </c>
      <c r="M58" s="132" t="n"/>
      <c r="N58" s="60">
        <f>L58</f>
        <v/>
      </c>
      <c r="O58" s="132" t="n"/>
      <c r="P58" s="58">
        <f>ABS(N58)</f>
        <v/>
      </c>
      <c r="Q58" s="58" t="n"/>
      <c r="R58" s="58" t="n"/>
    </row>
    <row r="59" ht="15.75" customHeight="1">
      <c r="A59" s="1" t="n"/>
      <c r="B59" s="1" t="n"/>
      <c r="C59" s="46" t="n">
        <v>0</v>
      </c>
      <c r="D59" s="46" t="n">
        <v>-0.004872393080362264</v>
      </c>
      <c r="E59" s="46" t="n">
        <v>-0.006062984881264171</v>
      </c>
      <c r="F59" s="1" t="n"/>
      <c r="G59" s="1" t="n"/>
      <c r="H59" s="46" t="n">
        <v>43.85073096554559</v>
      </c>
      <c r="I59" s="1" t="n"/>
      <c r="J59" s="1" t="n"/>
      <c r="K59" s="46" t="n">
        <v>-0.08001381818954822</v>
      </c>
      <c r="L59" s="132">
        <f>K59/$F$38</f>
        <v/>
      </c>
      <c r="M59" s="132" t="n"/>
      <c r="N59" s="60">
        <f>L59</f>
        <v/>
      </c>
      <c r="O59" s="132" t="n"/>
      <c r="P59" s="58">
        <f>ABS(N59)</f>
        <v/>
      </c>
      <c r="Q59" s="58" t="n"/>
      <c r="R59" s="58" t="n"/>
    </row>
    <row r="60" ht="15.75" customHeight="1">
      <c r="A60" s="1" t="n"/>
      <c r="B60" s="1" t="n"/>
      <c r="C60" s="46" t="n">
        <v>0</v>
      </c>
      <c r="D60" s="54" t="n">
        <v>-0.005282489034910165</v>
      </c>
      <c r="E60" s="54" t="n">
        <v>0.005709230210462166</v>
      </c>
      <c r="F60" s="1" t="n"/>
      <c r="G60" s="1" t="n"/>
      <c r="H60" s="46" t="n">
        <v>-22.04263783483783</v>
      </c>
      <c r="I60" s="1" t="n"/>
      <c r="J60" s="1" t="n"/>
      <c r="K60" s="46" t="n">
        <v>-0.3574874993432228</v>
      </c>
      <c r="L60" s="132">
        <f>K60/$F$38</f>
        <v/>
      </c>
      <c r="M60" s="132" t="n"/>
      <c r="N60" s="60">
        <f>L60</f>
        <v/>
      </c>
      <c r="O60" s="132" t="n"/>
      <c r="P60" s="58">
        <f>ABS(N60)</f>
        <v/>
      </c>
      <c r="Q60" s="58" t="n"/>
      <c r="R60" s="58" t="n"/>
    </row>
    <row r="61" ht="15.75" customHeight="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32" t="n"/>
      <c r="P61" s="91">
        <f>SUM(P55:P60)</f>
        <v/>
      </c>
    </row>
    <row r="62" ht="15.75" customHeight="1">
      <c r="A62" s="1" t="n"/>
      <c r="B62" s="1" t="n"/>
      <c r="C62" s="61" t="inlineStr">
        <is>
          <t>Delta</t>
        </is>
      </c>
      <c r="D62" s="62" t="inlineStr">
        <is>
          <t>Punto</t>
        </is>
      </c>
      <c r="E62" s="63" t="inlineStr">
        <is>
          <t>Ang. Ext</t>
        </is>
      </c>
      <c r="F62" s="63" t="inlineStr">
        <is>
          <t>Azimut</t>
        </is>
      </c>
      <c r="G62" s="63" t="inlineStr">
        <is>
          <t>Azimut Corr</t>
        </is>
      </c>
      <c r="H62" s="63" t="inlineStr">
        <is>
          <t>Dist. Horz.</t>
        </is>
      </c>
      <c r="I62" s="63" t="inlineStr">
        <is>
          <t>Corr</t>
        </is>
      </c>
      <c r="J62" s="63" t="inlineStr">
        <is>
          <t>Dist. Horz. Corr</t>
        </is>
      </c>
      <c r="K62" s="63" t="inlineStr">
        <is>
          <t>Proy. (N-S)</t>
        </is>
      </c>
      <c r="L62" s="63" t="inlineStr">
        <is>
          <t>Proy. (E-W)</t>
        </is>
      </c>
      <c r="M62" s="63" t="inlineStr">
        <is>
          <t>C. NORTE</t>
        </is>
      </c>
      <c r="N62" s="64" t="inlineStr">
        <is>
          <t>C. ESTE</t>
        </is>
      </c>
      <c r="O62" s="12" t="inlineStr">
        <is>
          <t>COSENO</t>
        </is>
      </c>
      <c r="P62" s="65" t="inlineStr">
        <is>
          <t>SENO</t>
        </is>
      </c>
      <c r="Q62" s="66" t="n"/>
      <c r="R62" s="66" t="n"/>
      <c r="S62" s="66" t="n"/>
    </row>
    <row r="63" ht="15.75" customHeight="1">
      <c r="A63" s="59" t="n"/>
      <c r="B63" s="59" t="n"/>
      <c r="C63" s="67" t="n"/>
      <c r="D63" s="14" t="inlineStr">
        <is>
          <t>14_IS1</t>
        </is>
      </c>
      <c r="E63" s="15" t="n"/>
      <c r="F63" s="90">
        <f>G14</f>
        <v/>
      </c>
      <c r="G63" s="14" t="n"/>
      <c r="H63" s="14" t="n"/>
      <c r="I63" s="14" t="n"/>
      <c r="J63" s="14" t="n"/>
      <c r="K63" s="14" t="n"/>
      <c r="L63" s="14" t="n"/>
      <c r="M63" s="15" t="n"/>
      <c r="N63" s="68" t="n"/>
      <c r="O63" s="17" t="n"/>
      <c r="P63" s="69" t="n"/>
      <c r="Q63" s="42" t="n"/>
      <c r="R63" s="7" t="n"/>
      <c r="S63" s="7" t="n"/>
    </row>
    <row r="64" ht="15.75" customHeight="1">
      <c r="A64" s="131">
        <f>N48</f>
        <v/>
      </c>
      <c r="B64" s="131">
        <f>A64</f>
        <v/>
      </c>
      <c r="C64" s="67" t="inlineStr">
        <is>
          <t>Famarena_5</t>
        </is>
      </c>
      <c r="D64" s="14" t="n"/>
      <c r="E64" s="15" t="n"/>
      <c r="F64" s="88" t="n"/>
      <c r="G64" s="15" t="n"/>
      <c r="H64" s="15" t="n"/>
      <c r="I64" s="15" t="n"/>
      <c r="J64" s="15" t="n"/>
      <c r="K64" s="14" t="n"/>
      <c r="L64" s="14" t="n"/>
      <c r="M64" s="20" t="n">
        <v>100139.844</v>
      </c>
      <c r="N64" s="20" t="n">
        <v>101491.444</v>
      </c>
      <c r="O64" s="17" t="n"/>
      <c r="P64" s="69" t="n"/>
      <c r="Q64" s="66" t="n"/>
      <c r="R64" s="7" t="n"/>
      <c r="S64" s="7" t="n"/>
    </row>
    <row r="65" ht="15.75" customHeight="1">
      <c r="A65" s="131">
        <f>N49</f>
        <v/>
      </c>
      <c r="B65" s="131">
        <f>B64+A65</f>
        <v/>
      </c>
      <c r="C65" s="67" t="inlineStr">
        <is>
          <t>D1</t>
        </is>
      </c>
      <c r="D65" s="160" t="n"/>
      <c r="E65" s="22">
        <f>F16</f>
        <v/>
      </c>
      <c r="F65" s="89">
        <f>G16</f>
        <v/>
      </c>
      <c r="G65" s="92">
        <f>F65+B64</f>
        <v/>
      </c>
      <c r="H65" s="23" t="n">
        <v>32.956</v>
      </c>
      <c r="I65" s="71">
        <f>N55</f>
        <v/>
      </c>
      <c r="J65" s="23">
        <f>H65+I65</f>
        <v/>
      </c>
      <c r="K65" s="15">
        <f>O65*J65</f>
        <v/>
      </c>
      <c r="L65" s="15">
        <f>P65*J65</f>
        <v/>
      </c>
      <c r="M65" s="23">
        <f>M64+K65</f>
        <v/>
      </c>
      <c r="N65" s="23">
        <f>N64+L65</f>
        <v/>
      </c>
      <c r="O65" s="24">
        <f>COS(RADIANS(G65))</f>
        <v/>
      </c>
      <c r="P65" s="72">
        <f>SIN(RADIANS(G65))</f>
        <v/>
      </c>
      <c r="Q65" s="42" t="n"/>
      <c r="R65" s="73" t="n"/>
      <c r="S65" s="73" t="n"/>
    </row>
    <row r="66" ht="15.75" customHeight="1">
      <c r="A66" s="131">
        <f>N50</f>
        <v/>
      </c>
      <c r="B66" s="131">
        <f>B65+A66</f>
        <v/>
      </c>
      <c r="C66" s="67" t="inlineStr">
        <is>
          <t>D2</t>
        </is>
      </c>
      <c r="D66" s="160" t="n"/>
      <c r="E66" s="22">
        <f>F17</f>
        <v/>
      </c>
      <c r="F66" s="89">
        <f>G17</f>
        <v/>
      </c>
      <c r="G66" s="92">
        <f>F66+B65</f>
        <v/>
      </c>
      <c r="H66" s="23" t="n">
        <v>13.76</v>
      </c>
      <c r="I66" s="71">
        <f>N56</f>
        <v/>
      </c>
      <c r="J66" s="23">
        <f>H66+I66</f>
        <v/>
      </c>
      <c r="K66" s="15">
        <f>O66*J66</f>
        <v/>
      </c>
      <c r="L66" s="15">
        <f>P66*J66</f>
        <v/>
      </c>
      <c r="M66" s="23">
        <f>M65+K66</f>
        <v/>
      </c>
      <c r="N66" s="23">
        <f>N65+L66</f>
        <v/>
      </c>
      <c r="O66" s="24">
        <f>COS(RADIANS(G66))</f>
        <v/>
      </c>
      <c r="P66" s="72">
        <f>SIN(RADIANS(G66))</f>
        <v/>
      </c>
      <c r="Q66" s="42" t="n"/>
      <c r="R66" s="73" t="n"/>
      <c r="S66" s="73" t="n"/>
    </row>
    <row r="67" ht="15.75" customHeight="1">
      <c r="A67" s="131">
        <f>N51</f>
        <v/>
      </c>
      <c r="B67" s="131">
        <f>B66+A67</f>
        <v/>
      </c>
      <c r="C67" s="67" t="inlineStr">
        <is>
          <t>D3</t>
        </is>
      </c>
      <c r="D67" s="160" t="n"/>
      <c r="E67" s="22">
        <f>F18</f>
        <v/>
      </c>
      <c r="F67" s="89">
        <f>G18</f>
        <v/>
      </c>
      <c r="G67" s="92">
        <f>F67+B66</f>
        <v/>
      </c>
      <c r="H67" s="23" t="n">
        <v>87.10299999999999</v>
      </c>
      <c r="I67" s="71">
        <f>N57</f>
        <v/>
      </c>
      <c r="J67" s="23">
        <f>H67+I67</f>
        <v/>
      </c>
      <c r="K67" s="15">
        <f>O67*J67</f>
        <v/>
      </c>
      <c r="L67" s="15">
        <f>P67*J67</f>
        <v/>
      </c>
      <c r="M67" s="23">
        <f>M66+K67</f>
        <v/>
      </c>
      <c r="N67" s="23">
        <f>N66+L67</f>
        <v/>
      </c>
      <c r="O67" s="24">
        <f>COS(RADIANS(G67))</f>
        <v/>
      </c>
      <c r="P67" s="72">
        <f>SIN(RADIANS(G67))</f>
        <v/>
      </c>
      <c r="Q67" s="42" t="n"/>
      <c r="R67" s="73" t="n"/>
      <c r="S67" s="73" t="n"/>
    </row>
    <row r="68" ht="15.75" customHeight="1">
      <c r="A68" s="131">
        <f>N52</f>
        <v/>
      </c>
      <c r="B68" s="131">
        <f>B67+A68</f>
        <v/>
      </c>
      <c r="C68" s="67" t="inlineStr">
        <is>
          <t>D4</t>
        </is>
      </c>
      <c r="D68" s="160" t="n"/>
      <c r="E68" s="22">
        <f>F19</f>
        <v/>
      </c>
      <c r="F68" s="89">
        <f>G19</f>
        <v/>
      </c>
      <c r="G68" s="92">
        <f>F68+B67</f>
        <v/>
      </c>
      <c r="H68" s="23" t="n">
        <v>25.846</v>
      </c>
      <c r="I68" s="71">
        <f>N58</f>
        <v/>
      </c>
      <c r="J68" s="23">
        <f>H68+I68</f>
        <v/>
      </c>
      <c r="K68" s="15">
        <f>O68*J68</f>
        <v/>
      </c>
      <c r="L68" s="15">
        <f>P68*J68</f>
        <v/>
      </c>
      <c r="M68" s="23">
        <f>M67+K68</f>
        <v/>
      </c>
      <c r="N68" s="23">
        <f>N67+L68</f>
        <v/>
      </c>
      <c r="O68" s="24">
        <f>COS(RADIANS(G68))</f>
        <v/>
      </c>
      <c r="P68" s="72">
        <f>SIN(RADIANS(G68))</f>
        <v/>
      </c>
      <c r="Q68" s="42" t="n"/>
      <c r="R68" s="73" t="n"/>
      <c r="S68" s="73" t="n"/>
    </row>
    <row r="69" ht="15.75" customHeight="1">
      <c r="A69" s="131">
        <f>N53</f>
        <v/>
      </c>
      <c r="B69" s="131">
        <f>B68+A69</f>
        <v/>
      </c>
      <c r="C69" s="67" t="inlineStr">
        <is>
          <t>Famarena_5</t>
        </is>
      </c>
      <c r="D69" s="160" t="n"/>
      <c r="E69" s="22">
        <f>F20</f>
        <v/>
      </c>
      <c r="F69" s="89">
        <f>G20</f>
        <v/>
      </c>
      <c r="G69" s="92">
        <f>F69+B68</f>
        <v/>
      </c>
      <c r="H69" s="23" t="n">
        <v>86.295</v>
      </c>
      <c r="I69" s="71">
        <f>N59</f>
        <v/>
      </c>
      <c r="J69" s="23">
        <f>H69+I69</f>
        <v/>
      </c>
      <c r="K69" s="15">
        <f>O69*J69</f>
        <v/>
      </c>
      <c r="L69" s="15">
        <f>P69*J69</f>
        <v/>
      </c>
      <c r="M69" s="23">
        <f>M68+K69</f>
        <v/>
      </c>
      <c r="N69" s="23">
        <f>N68+L69</f>
        <v/>
      </c>
      <c r="O69" s="24">
        <f>COS(RADIANS(G69))</f>
        <v/>
      </c>
      <c r="P69" s="72">
        <f>SIN(RADIANS(G69))</f>
        <v/>
      </c>
      <c r="Q69" s="42" t="n"/>
      <c r="R69" s="73" t="n"/>
      <c r="S69" s="73" t="n"/>
    </row>
    <row r="70" ht="15.75" customHeight="1">
      <c r="A70" s="131">
        <f>N54</f>
        <v/>
      </c>
      <c r="B70" s="131">
        <f>B69+A70</f>
        <v/>
      </c>
      <c r="C70" s="67" t="n"/>
      <c r="D70" s="160" t="inlineStr">
        <is>
          <t>D1</t>
        </is>
      </c>
      <c r="E70" s="22">
        <f>F21</f>
        <v/>
      </c>
      <c r="F70" s="89">
        <f>G21</f>
        <v/>
      </c>
      <c r="G70" s="92">
        <f>F70+B69</f>
        <v/>
      </c>
      <c r="H70" s="23" t="n">
        <v>32.956</v>
      </c>
      <c r="I70" s="71">
        <f>N60</f>
        <v/>
      </c>
      <c r="J70" s="23">
        <f>H70+I70</f>
        <v/>
      </c>
      <c r="K70" s="15">
        <f>O70*J70</f>
        <v/>
      </c>
      <c r="L70" s="15">
        <f>P70*J70</f>
        <v/>
      </c>
      <c r="M70" s="23">
        <f>M69+K70</f>
        <v/>
      </c>
      <c r="N70" s="23">
        <f>N69+L70</f>
        <v/>
      </c>
      <c r="O70" s="24">
        <f>COS(RADIANS(G70))</f>
        <v/>
      </c>
      <c r="P70" s="72">
        <f>SIN(RADIANS(G70))</f>
        <v/>
      </c>
      <c r="Q70" s="42" t="n"/>
      <c r="R70" s="73" t="n"/>
      <c r="S70" s="73" t="n"/>
    </row>
    <row r="71" ht="15.75" customHeight="1" thickBot="1">
      <c r="A71" s="132" t="n"/>
      <c r="B71" s="132" t="n"/>
      <c r="C71" s="74" t="n"/>
      <c r="D71" s="75" t="n"/>
      <c r="E71" s="76" t="n"/>
      <c r="F71" s="77" t="n"/>
      <c r="G71" s="93" t="n"/>
      <c r="H71" s="78" t="n"/>
      <c r="I71" s="78" t="n"/>
      <c r="J71" s="78" t="n"/>
      <c r="K71" s="78" t="n"/>
      <c r="L71" s="78" t="n"/>
      <c r="M71" s="78" t="n"/>
      <c r="N71" s="79" t="n"/>
      <c r="O71" s="24">
        <f>COS(RADIANS(G71))</f>
        <v/>
      </c>
      <c r="P71" s="72">
        <f>SIN(RADIANS(G71))</f>
        <v/>
      </c>
    </row>
    <row r="72" ht="15.75" customHeight="1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</row>
    <row r="73" ht="15.75" customHeight="1">
      <c r="A73" s="1" t="n"/>
      <c r="B73" s="1" t="n"/>
      <c r="C73" s="1" t="n"/>
      <c r="D73" s="1" t="n"/>
      <c r="E73" s="161">
        <f>E65+A64</f>
        <v/>
      </c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</row>
    <row r="74" ht="15.75" customHeight="1">
      <c r="C74" s="80" t="n"/>
      <c r="D74" s="80" t="n"/>
      <c r="E74" s="161">
        <f>E66+A65</f>
        <v/>
      </c>
      <c r="F74" s="66" t="n"/>
      <c r="G74" s="66" t="n"/>
      <c r="H74" s="66" t="n"/>
      <c r="I74" s="66" t="n"/>
      <c r="J74" s="66" t="n"/>
      <c r="K74" s="66" t="n"/>
      <c r="L74" s="66" t="n"/>
      <c r="M74" s="66" t="n"/>
      <c r="N74" s="66" t="n"/>
      <c r="O74" s="66" t="n"/>
      <c r="P74" s="66" t="n"/>
      <c r="Q74" s="58" t="n"/>
    </row>
    <row r="75" ht="15.75" customHeight="1">
      <c r="C75" s="7" t="n"/>
      <c r="D75" s="7" t="n"/>
      <c r="E75" s="161">
        <f>E67+A66</f>
        <v/>
      </c>
      <c r="F75" s="58" t="n"/>
      <c r="G75" s="81" t="n"/>
      <c r="H75" s="7" t="n"/>
      <c r="I75" s="7" t="n"/>
      <c r="J75" s="7" t="n"/>
      <c r="K75" s="7" t="n"/>
      <c r="L75" s="7" t="n"/>
      <c r="M75" s="42" t="n"/>
      <c r="N75" s="42" t="n"/>
      <c r="O75" s="7" t="n"/>
      <c r="P75" s="7" t="n"/>
      <c r="Q75" s="58" t="n"/>
    </row>
    <row r="76" ht="15.75" customHeight="1">
      <c r="B76" s="57" t="n"/>
      <c r="C76" s="7" t="n"/>
      <c r="D76" s="7" t="n"/>
      <c r="E76" s="161">
        <f>E68+A67</f>
        <v/>
      </c>
      <c r="F76" s="58" t="n"/>
      <c r="G76" s="42" t="n"/>
      <c r="H76" s="42" t="n"/>
      <c r="I76" s="42" t="n"/>
      <c r="J76" s="42" t="n"/>
      <c r="K76" s="7" t="n"/>
      <c r="L76" s="7" t="n"/>
      <c r="M76" s="82" t="n"/>
      <c r="N76" s="82" t="n"/>
      <c r="O76" s="7" t="n"/>
      <c r="P76" s="7" t="n"/>
      <c r="Q76" s="58" t="n"/>
    </row>
    <row r="77" ht="15.75" customHeight="1">
      <c r="B77" s="57" t="n"/>
      <c r="C77" s="7" t="n"/>
      <c r="D77" s="7" t="n"/>
      <c r="E77" s="161">
        <f>E69+A68</f>
        <v/>
      </c>
      <c r="F77" s="84" t="n"/>
      <c r="G77" s="83" t="n"/>
      <c r="H77" s="13" t="n"/>
      <c r="I77" s="85" t="n"/>
      <c r="J77" s="13" t="n"/>
      <c r="K77" s="42" t="n"/>
      <c r="L77" s="42" t="n"/>
      <c r="M77" s="13" t="n"/>
      <c r="N77" s="13" t="n"/>
      <c r="O77" s="73" t="n"/>
      <c r="P77" s="73" t="n"/>
      <c r="Q77" s="58" t="n"/>
    </row>
    <row r="78" ht="15.75" customHeight="1">
      <c r="B78" s="57" t="n"/>
      <c r="C78" s="7" t="n"/>
      <c r="D78" s="7" t="n"/>
      <c r="E78" s="161">
        <f>E70+A69</f>
        <v/>
      </c>
      <c r="F78" s="84" t="n"/>
      <c r="G78" s="83" t="n"/>
      <c r="H78" s="13" t="n"/>
      <c r="I78" s="85" t="n"/>
      <c r="J78" s="13" t="n"/>
      <c r="K78" s="42" t="n"/>
      <c r="L78" s="42" t="n"/>
      <c r="M78" s="13" t="n"/>
      <c r="N78" s="13" t="n"/>
      <c r="O78" s="73" t="n"/>
      <c r="P78" s="73" t="n"/>
      <c r="Q78" s="58" t="n"/>
    </row>
    <row r="79" ht="15.75" customHeight="1">
      <c r="B79" s="57" t="n"/>
      <c r="C79" s="7" t="n"/>
      <c r="D79" s="7" t="n"/>
      <c r="E79" s="161" t="n"/>
      <c r="F79" s="84" t="n"/>
      <c r="G79" s="83" t="n"/>
      <c r="H79" s="13" t="n"/>
      <c r="I79" s="85" t="n"/>
      <c r="J79" s="13" t="n"/>
      <c r="K79" s="42" t="n"/>
      <c r="L79" s="42" t="n"/>
      <c r="M79" s="13" t="n"/>
      <c r="N79" s="13" t="n"/>
      <c r="O79" s="73" t="n"/>
      <c r="P79" s="73" t="n"/>
      <c r="Q79" s="58" t="n"/>
    </row>
    <row r="80" ht="15.75" customHeight="1">
      <c r="B80" s="57" t="n"/>
      <c r="C80" s="7" t="n"/>
      <c r="D80" s="7" t="n"/>
      <c r="E80" s="95">
        <f>SUM(E74:E78)</f>
        <v/>
      </c>
      <c r="F80" s="84" t="n"/>
      <c r="G80" s="83" t="n"/>
      <c r="H80" s="13" t="n"/>
      <c r="I80" s="85" t="n"/>
      <c r="J80" s="13" t="n"/>
      <c r="K80" s="42" t="n"/>
      <c r="L80" s="42" t="n"/>
      <c r="M80" s="13" t="n"/>
      <c r="N80" s="13" t="n"/>
      <c r="O80" s="73" t="n"/>
      <c r="P80" s="73" t="n"/>
      <c r="Q80" s="58" t="n"/>
    </row>
    <row r="81" ht="15.75" customHeight="1">
      <c r="B81" s="57" t="n"/>
      <c r="C81" s="7" t="n"/>
      <c r="D81" s="7" t="n"/>
      <c r="E81" s="161" t="n"/>
      <c r="F81" s="84" t="n"/>
      <c r="G81" s="83" t="n"/>
      <c r="H81" s="13" t="n"/>
      <c r="I81" s="85" t="n"/>
      <c r="J81" s="13" t="n"/>
      <c r="K81" s="42" t="n"/>
      <c r="L81" s="42" t="n"/>
      <c r="M81" s="13" t="n"/>
      <c r="N81" s="13" t="n"/>
      <c r="O81" s="73" t="n"/>
      <c r="P81" s="73" t="n"/>
      <c r="Q81" s="58" t="n"/>
    </row>
    <row r="82" ht="15.75" customHeight="1">
      <c r="B82" s="57" t="n"/>
      <c r="C82" s="7" t="n"/>
      <c r="D82" s="7" t="n"/>
      <c r="E82" s="161" t="n"/>
      <c r="F82" s="84" t="n"/>
      <c r="G82" s="83" t="n"/>
      <c r="H82" s="13" t="n"/>
      <c r="I82" s="85" t="n"/>
      <c r="J82" s="13" t="n"/>
      <c r="K82" s="42" t="n"/>
      <c r="L82" s="42" t="n"/>
      <c r="M82" s="13" t="n"/>
      <c r="N82" s="13" t="n"/>
      <c r="O82" s="73" t="n"/>
      <c r="P82" s="73" t="n"/>
      <c r="Q82" s="58" t="n"/>
    </row>
    <row r="83" ht="15.75" customHeight="1">
      <c r="C83" s="7" t="n"/>
      <c r="D83" s="7" t="n"/>
      <c r="E83" s="86" t="n"/>
      <c r="F83" s="84" t="n"/>
      <c r="G83" s="87" t="n"/>
      <c r="H83" s="42" t="n"/>
      <c r="I83" s="42" t="n"/>
      <c r="J83" s="42" t="n"/>
      <c r="K83" s="42" t="n"/>
      <c r="L83" s="42" t="n"/>
      <c r="M83" s="42" t="n"/>
      <c r="N83" s="42" t="n"/>
      <c r="O83" s="73" t="n"/>
      <c r="P83" s="73" t="n"/>
      <c r="Q83" s="58" t="n"/>
    </row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mergeCells count="26">
    <mergeCell ref="H35:I35"/>
    <mergeCell ref="C47:E47"/>
    <mergeCell ref="B30:H30"/>
    <mergeCell ref="F2:L3"/>
    <mergeCell ref="F7:G7"/>
    <mergeCell ref="E35:F35"/>
    <mergeCell ref="B41:N41"/>
    <mergeCell ref="E10:F10"/>
    <mergeCell ref="I42:N42"/>
    <mergeCell ref="H5:L6"/>
    <mergeCell ref="L10:L11"/>
    <mergeCell ref="F8:G8"/>
    <mergeCell ref="G47:I47"/>
    <mergeCell ref="H7:L7"/>
    <mergeCell ref="E11:F11"/>
    <mergeCell ref="H8:L8"/>
    <mergeCell ref="B42:H42"/>
    <mergeCell ref="G52:I52"/>
    <mergeCell ref="I10:I11"/>
    <mergeCell ref="I30:N30"/>
    <mergeCell ref="K10:K11"/>
    <mergeCell ref="D10:D11"/>
    <mergeCell ref="F5:G6"/>
    <mergeCell ref="B29:N29"/>
    <mergeCell ref="B35:C35"/>
    <mergeCell ref="J10:J11"/>
  </mergeCells>
  <pageMargins left="0.7" right="0.7" top="0.75" bottom="0.75" header="0" footer="0"/>
  <pageSetup orientation="portrait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1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62" t="inlineStr">
        <is>
          <t>AJUSTE POR ECUACIONES DE CONDICIÓN — VERSIÓN CORREGIDA</t>
        </is>
      </c>
    </row>
    <row r="2">
      <c r="A2" t="inlineStr">
        <is>
          <t>La hoja original declara 7 incógnitas angulares para una cartera de 6 ángulos, y no satisface ninguna de sus tres condiciones.</t>
        </is>
      </c>
    </row>
    <row r="3">
      <c r="A3" t="inlineStr">
        <is>
          <t>Modelo correcto: 5 ángulos interiores + 5 distancias, 3 condiciones. El de orientación no entra: un error suyo rota el polígono y no afecta al cierre.</t>
        </is>
      </c>
    </row>
    <row r="4">
      <c r="A4" t="inlineStr">
        <is>
          <t>El ángulo interior del vértice j fija el azimut del lado SIGUIENTE, así que el del último vértice no arrastra ningún lado de esta vuelta: entra solo en la condición angular.</t>
        </is>
      </c>
    </row>
    <row r="6">
      <c r="A6" s="162" t="inlineStr">
        <is>
          <t>OBSERVACIONES</t>
        </is>
      </c>
    </row>
    <row r="7">
      <c r="A7" s="162" t="inlineStr">
        <is>
          <t>Lado / vértice</t>
        </is>
      </c>
      <c r="B7" s="162" t="inlineStr">
        <is>
          <t>Áng. interior (°)</t>
        </is>
      </c>
      <c r="C7" s="162" t="inlineStr">
        <is>
          <t>Azimut obs. (°)</t>
        </is>
      </c>
      <c r="D7" s="162" t="inlineStr">
        <is>
          <t>Distancia (m)</t>
        </is>
      </c>
      <c r="E7" s="162" t="inlineStr">
        <is>
          <t>ΔN</t>
        </is>
      </c>
      <c r="F7" s="162" t="inlineStr">
        <is>
          <t>ΔE</t>
        </is>
      </c>
    </row>
    <row r="8">
      <c r="A8" t="inlineStr">
        <is>
          <t>D1</t>
        </is>
      </c>
      <c r="B8" s="163">
        <f>'POLIGONAL MINIMOS'!F17</f>
        <v/>
      </c>
      <c r="C8" s="163">
        <f>'POLIGONAL MINIMOS'!G16</f>
        <v/>
      </c>
      <c r="D8" s="164">
        <f>'POLIGONAL MINIMOS'!H16</f>
        <v/>
      </c>
      <c r="E8" s="165">
        <f>D8*COS(RADIANS(C8))</f>
        <v/>
      </c>
      <c r="F8" s="165">
        <f>D8*SIN(RADIANS(C8))</f>
        <v/>
      </c>
    </row>
    <row r="9">
      <c r="A9" t="inlineStr">
        <is>
          <t>D2</t>
        </is>
      </c>
      <c r="B9" s="163">
        <f>'POLIGONAL MINIMOS'!F18</f>
        <v/>
      </c>
      <c r="C9" s="163">
        <f>'POLIGONAL MINIMOS'!G17</f>
        <v/>
      </c>
      <c r="D9" s="164">
        <f>'POLIGONAL MINIMOS'!H17</f>
        <v/>
      </c>
      <c r="E9" s="165">
        <f>D9*COS(RADIANS(C9))</f>
        <v/>
      </c>
      <c r="F9" s="165">
        <f>D9*SIN(RADIANS(C9))</f>
        <v/>
      </c>
    </row>
    <row r="10">
      <c r="A10" t="inlineStr">
        <is>
          <t>D3</t>
        </is>
      </c>
      <c r="B10" s="163">
        <f>'POLIGONAL MINIMOS'!F19</f>
        <v/>
      </c>
      <c r="C10" s="163">
        <f>'POLIGONAL MINIMOS'!G18</f>
        <v/>
      </c>
      <c r="D10" s="164">
        <f>'POLIGONAL MINIMOS'!H18</f>
        <v/>
      </c>
      <c r="E10" s="165">
        <f>D10*COS(RADIANS(C10))</f>
        <v/>
      </c>
      <c r="F10" s="165">
        <f>D10*SIN(RADIANS(C10))</f>
        <v/>
      </c>
    </row>
    <row r="11">
      <c r="A11" t="inlineStr">
        <is>
          <t>D4</t>
        </is>
      </c>
      <c r="B11" s="163">
        <f>'POLIGONAL MINIMOS'!F20</f>
        <v/>
      </c>
      <c r="C11" s="163">
        <f>'POLIGONAL MINIMOS'!G19</f>
        <v/>
      </c>
      <c r="D11" s="164">
        <f>'POLIGONAL MINIMOS'!H19</f>
        <v/>
      </c>
      <c r="E11" s="165">
        <f>D11*COS(RADIANS(C11))</f>
        <v/>
      </c>
      <c r="F11" s="165">
        <f>D11*SIN(RADIANS(C11))</f>
        <v/>
      </c>
    </row>
    <row r="12">
      <c r="A12" t="inlineStr">
        <is>
          <t>Famarena_5</t>
        </is>
      </c>
      <c r="B12" s="163">
        <f>'POLIGONAL MINIMOS'!F21</f>
        <v/>
      </c>
      <c r="C12" s="163">
        <f>'POLIGONAL MINIMOS'!G20</f>
        <v/>
      </c>
      <c r="D12" s="164">
        <f>'POLIGONAL MINIMOS'!H20</f>
        <v/>
      </c>
      <c r="E12" s="165">
        <f>D12*COS(RADIANS(C12))</f>
        <v/>
      </c>
      <c r="F12" s="165">
        <f>D12*SIN(RADIANS(C12))</f>
        <v/>
      </c>
    </row>
    <row r="13">
      <c r="A13" s="162" t="inlineStr">
        <is>
          <t>Σ</t>
        </is>
      </c>
      <c r="B13" s="163">
        <f>SUM(B8:B12)</f>
        <v/>
      </c>
      <c r="D13" s="164">
        <f>SUM(D8:D12)</f>
        <v/>
      </c>
      <c r="E13" s="165">
        <f>SUM(E8:E12)</f>
        <v/>
      </c>
      <c r="F13" s="165">
        <f>SUM(F8:F12)</f>
        <v/>
      </c>
    </row>
    <row r="15">
      <c r="A15" s="162" t="inlineStr">
        <is>
          <t>DISCREPANCIAS (w)</t>
        </is>
      </c>
    </row>
    <row r="16">
      <c r="A16" t="inlineStr">
        <is>
          <t>angular (")</t>
        </is>
      </c>
      <c r="B16" s="164">
        <f>(B13-540)*3600</f>
        <v/>
      </c>
    </row>
    <row r="17">
      <c r="A17" t="inlineStr">
        <is>
          <t>cierre N (m)</t>
        </is>
      </c>
      <c r="B17" s="165">
        <f>E13</f>
        <v/>
      </c>
    </row>
    <row r="18">
      <c r="A18" t="inlineStr">
        <is>
          <t>cierre E (m)</t>
        </is>
      </c>
      <c r="B18" s="165">
        <f>F13</f>
        <v/>
      </c>
    </row>
    <row r="19">
      <c r="A19" t="inlineStr">
        <is>
          <t>ρ ("/rad)</t>
        </is>
      </c>
      <c r="B19" s="164">
        <f>180/PI()*3600</f>
        <v/>
      </c>
    </row>
    <row r="21">
      <c r="A21" s="162" t="inlineStr">
        <is>
          <t>MATRIZ DE CONDICIÓN A</t>
        </is>
      </c>
    </row>
    <row r="22">
      <c r="B22" s="162" t="inlineStr">
        <is>
          <t>v.áng 1</t>
        </is>
      </c>
      <c r="C22" s="162" t="inlineStr">
        <is>
          <t>v.áng 2</t>
        </is>
      </c>
      <c r="D22" s="162" t="inlineStr">
        <is>
          <t>v.áng 3</t>
        </is>
      </c>
      <c r="E22" s="162" t="inlineStr">
        <is>
          <t>v.áng 4</t>
        </is>
      </c>
      <c r="F22" s="162" t="inlineStr">
        <is>
          <t>v.áng 5</t>
        </is>
      </c>
      <c r="G22" s="162" t="inlineStr">
        <is>
          <t>v.dist 1</t>
        </is>
      </c>
      <c r="H22" s="162" t="inlineStr">
        <is>
          <t>v.dist 2</t>
        </is>
      </c>
      <c r="I22" s="162" t="inlineStr">
        <is>
          <t>v.dist 3</t>
        </is>
      </c>
      <c r="J22" s="162" t="inlineStr">
        <is>
          <t>v.dist 4</t>
        </is>
      </c>
      <c r="K22" s="162" t="inlineStr">
        <is>
          <t>v.dist 5</t>
        </is>
      </c>
    </row>
    <row r="23">
      <c r="A23" s="162" t="inlineStr">
        <is>
          <t>angular</t>
        </is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s="162" t="inlineStr">
        <is>
          <t>cierre N</t>
        </is>
      </c>
      <c r="B24" s="163">
        <f>-SUM($F$8:$F$12)/$B$19</f>
        <v/>
      </c>
      <c r="C24" s="163">
        <f>-SUM($F$9:$F$12)/$B$19</f>
        <v/>
      </c>
      <c r="D24" s="163">
        <f>-SUM($F$10:$F$12)/$B$19</f>
        <v/>
      </c>
      <c r="E24" s="163">
        <f>-SUM($F$11:$F$12)/$B$19</f>
        <v/>
      </c>
      <c r="F24" t="n">
        <v>0</v>
      </c>
      <c r="G24" s="163">
        <f>COS(RADIANS(C8))</f>
        <v/>
      </c>
      <c r="H24" s="163">
        <f>COS(RADIANS(C9))</f>
        <v/>
      </c>
      <c r="I24" s="163">
        <f>COS(RADIANS(C10))</f>
        <v/>
      </c>
      <c r="J24" s="163">
        <f>COS(RADIANS(C11))</f>
        <v/>
      </c>
      <c r="K24" s="163">
        <f>COS(RADIANS(C12))</f>
        <v/>
      </c>
    </row>
    <row r="25">
      <c r="A25" s="162" t="inlineStr">
        <is>
          <t>cierre E</t>
        </is>
      </c>
      <c r="B25" s="163">
        <f>SUM($E$8:$E$12)/$B$19</f>
        <v/>
      </c>
      <c r="C25" s="163">
        <f>SUM($E$9:$E$12)/$B$19</f>
        <v/>
      </c>
      <c r="D25" s="163">
        <f>SUM($E$10:$E$12)/$B$19</f>
        <v/>
      </c>
      <c r="E25" s="163">
        <f>SUM($E$11:$E$12)/$B$19</f>
        <v/>
      </c>
      <c r="F25" t="n">
        <v>0</v>
      </c>
      <c r="G25" s="163">
        <f>SIN(RADIANS(C8))</f>
        <v/>
      </c>
      <c r="H25" s="163">
        <f>SIN(RADIANS(C9))</f>
        <v/>
      </c>
      <c r="I25" s="163">
        <f>SIN(RADIANS(C10))</f>
        <v/>
      </c>
      <c r="J25" s="163">
        <f>SIN(RADIANS(C11))</f>
        <v/>
      </c>
      <c r="K25" s="163">
        <f>SIN(RADIANS(C12))</f>
        <v/>
      </c>
    </row>
    <row r="27">
      <c r="A27" s="162" t="inlineStr">
        <is>
          <t>COFACTORES Q = σ²  (σ ang = 2" · σ dist = 0.011 m, los de la hoja original)</t>
        </is>
      </c>
    </row>
    <row r="28">
      <c r="B28" s="165">
        <f>2^2</f>
        <v/>
      </c>
      <c r="C28" s="165">
        <f>2^2</f>
        <v/>
      </c>
      <c r="D28" s="165">
        <f>2^2</f>
        <v/>
      </c>
      <c r="E28" s="165">
        <f>2^2</f>
        <v/>
      </c>
      <c r="F28" s="165">
        <f>2^2</f>
        <v/>
      </c>
      <c r="G28" s="163">
        <f>0.011^2</f>
        <v/>
      </c>
      <c r="H28" s="163">
        <f>0.011^2</f>
        <v/>
      </c>
      <c r="I28" s="163">
        <f>0.011^2</f>
        <v/>
      </c>
      <c r="J28" s="163">
        <f>0.011^2</f>
        <v/>
      </c>
      <c r="K28" s="163">
        <f>0.011^2</f>
        <v/>
      </c>
    </row>
    <row r="30">
      <c r="A30" s="162" t="inlineStr">
        <is>
          <t>M = A·Q·Aᵀ</t>
        </is>
      </c>
    </row>
    <row r="31">
      <c r="B31" s="163">
        <f>SUMPRODUCT($B$23:$K$23,$B$28:$K$28,$B$23:$K$23)</f>
        <v/>
      </c>
      <c r="C31" s="163">
        <f>SUMPRODUCT($B$23:$K$23,$B$28:$K$28,$B$24:$K$24)</f>
        <v/>
      </c>
      <c r="D31" s="163">
        <f>SUMPRODUCT($B$23:$K$23,$B$28:$K$28,$B$25:$K$25)</f>
        <v/>
      </c>
    </row>
    <row r="32">
      <c r="B32" s="163">
        <f>SUMPRODUCT($B$24:$K$24,$B$28:$K$28,$B$23:$K$23)</f>
        <v/>
      </c>
      <c r="C32" s="163">
        <f>SUMPRODUCT($B$24:$K$24,$B$28:$K$28,$B$24:$K$24)</f>
        <v/>
      </c>
      <c r="D32" s="163">
        <f>SUMPRODUCT($B$24:$K$24,$B$28:$K$28,$B$25:$K$25)</f>
        <v/>
      </c>
    </row>
    <row r="33">
      <c r="B33" s="163">
        <f>SUMPRODUCT($B$25:$K$25,$B$28:$K$28,$B$23:$K$23)</f>
        <v/>
      </c>
      <c r="C33" s="163">
        <f>SUMPRODUCT($B$25:$K$25,$B$28:$K$28,$B$24:$K$24)</f>
        <v/>
      </c>
      <c r="D33" s="163">
        <f>SUMPRODUCT($B$25:$K$25,$B$28:$K$28,$B$25:$K$25)</f>
        <v/>
      </c>
    </row>
    <row r="35">
      <c r="A35" s="162" t="inlineStr">
        <is>
          <t>det(M)</t>
        </is>
      </c>
      <c r="B35" s="163">
        <f>B31*(C32*D33-D32*C33)-C31*(B32*D33-D32*B33)+D31*(B32*C33-C32*B33)</f>
        <v/>
      </c>
    </row>
    <row r="36">
      <c r="A36" s="162" t="inlineStr">
        <is>
          <t>k = −M⁻¹·w  (Cramer, para que el álgebra quede a la vista)</t>
        </is>
      </c>
    </row>
    <row r="37">
      <c r="A37" t="inlineStr">
        <is>
          <t>k1</t>
        </is>
      </c>
      <c r="B37" s="163">
        <f>(-B16*(C32*D33-D32*C33) - C31*(-B17*D33+D32*B18) + D31*(-B17*C33+C32*B18))/$B$35</f>
        <v/>
      </c>
    </row>
    <row r="38">
      <c r="A38" t="inlineStr">
        <is>
          <t>k2</t>
        </is>
      </c>
      <c r="B38" s="163">
        <f>(B31*(-B17*D33+D32*B18) + B16*(B32*D33-D32*B33) + D31*(-B32*B18+B17*B33))/$B$35</f>
        <v/>
      </c>
    </row>
    <row r="39">
      <c r="A39" t="inlineStr">
        <is>
          <t>k3</t>
        </is>
      </c>
      <c r="B39" s="163">
        <f>(B31*(-C32*B18+B17*C33) - C31*(-B32*B18+B17*B33) - B16*(B32*C33-C32*B33))/$B$35</f>
        <v/>
      </c>
    </row>
    <row r="41">
      <c r="A41" s="162" t="inlineStr">
        <is>
          <t>CORRECCIONES v   (ángulos en segundos · distancias en metros)</t>
        </is>
      </c>
    </row>
    <row r="42">
      <c r="A42" s="162" t="inlineStr">
        <is>
          <t>v</t>
        </is>
      </c>
      <c r="B42" s="164">
        <f>B28*(B23*$B$37+B24*$B$38+B25*$B$39)</f>
        <v/>
      </c>
      <c r="C42" s="164">
        <f>C28*(C23*$B$37+C24*$B$38+C25*$B$39)</f>
        <v/>
      </c>
      <c r="D42" s="164">
        <f>D28*(D23*$B$37+D24*$B$38+D25*$B$39)</f>
        <v/>
      </c>
      <c r="E42" s="164">
        <f>E28*(E23*$B$37+E24*$B$38+E25*$B$39)</f>
        <v/>
      </c>
      <c r="F42" s="164">
        <f>F28*(F23*$B$37+F24*$B$38+F25*$B$39)</f>
        <v/>
      </c>
      <c r="G42" s="166">
        <f>G28*(G23*$B$37+G24*$B$38+G25*$B$39)</f>
        <v/>
      </c>
      <c r="H42" s="166">
        <f>H28*(H23*$B$37+H24*$B$38+H25*$B$39)</f>
        <v/>
      </c>
      <c r="I42" s="166">
        <f>I28*(I23*$B$37+I24*$B$38+I25*$B$39)</f>
        <v/>
      </c>
      <c r="J42" s="166">
        <f>J28*(J23*$B$37+J24*$B$38+J25*$B$39)</f>
        <v/>
      </c>
      <c r="K42" s="166">
        <f>K28*(K23*$B$37+K24*$B$38+K25*$B$39)</f>
        <v/>
      </c>
    </row>
    <row r="44">
      <c r="A44" s="162" t="inlineStr">
        <is>
          <t>RESULTADO AJUSTADO</t>
        </is>
      </c>
    </row>
    <row r="45">
      <c r="A45" s="162" t="inlineStr">
        <is>
          <t>Punto</t>
        </is>
      </c>
      <c r="B45" s="162" t="inlineStr">
        <is>
          <t>Áng. ajust. (°)</t>
        </is>
      </c>
      <c r="C45" s="162" t="inlineStr">
        <is>
          <t>Azimut ajust. (°)</t>
        </is>
      </c>
      <c r="D45" s="162" t="inlineStr">
        <is>
          <t>Dist. ajust. (m)</t>
        </is>
      </c>
      <c r="E45" s="162" t="inlineStr">
        <is>
          <t>ΔN</t>
        </is>
      </c>
      <c r="F45" s="162" t="inlineStr">
        <is>
          <t>ΔE</t>
        </is>
      </c>
      <c r="G45" s="162" t="inlineStr">
        <is>
          <t>Norte</t>
        </is>
      </c>
      <c r="H45" s="162" t="inlineStr">
        <is>
          <t>Este</t>
        </is>
      </c>
    </row>
    <row r="46">
      <c r="A46" t="inlineStr">
        <is>
          <t>Famarena_5 (partida)</t>
        </is>
      </c>
      <c r="G46" s="167">
        <f>'POLIGONAL MINIMOS'!K15</f>
        <v/>
      </c>
      <c r="H46" s="167">
        <f>'POLIGONAL MINIMOS'!L15</f>
        <v/>
      </c>
    </row>
    <row r="47">
      <c r="A47" t="inlineStr">
        <is>
          <t>D1</t>
        </is>
      </c>
      <c r="B47" s="163">
        <f>B8+B$42/3600</f>
        <v/>
      </c>
      <c r="C47" s="163">
        <f>C8</f>
        <v/>
      </c>
      <c r="D47" s="165">
        <f>D8+G$42</f>
        <v/>
      </c>
      <c r="E47" s="165">
        <f>D47*COS(RADIANS(C47))</f>
        <v/>
      </c>
      <c r="F47" s="165">
        <f>D47*SIN(RADIANS(C47))</f>
        <v/>
      </c>
      <c r="G47" s="167">
        <f>G46+E47</f>
        <v/>
      </c>
      <c r="H47" s="167">
        <f>H46+F47</f>
        <v/>
      </c>
    </row>
    <row r="48">
      <c r="A48" t="inlineStr">
        <is>
          <t>D2</t>
        </is>
      </c>
      <c r="B48" s="163">
        <f>B9+C$42/3600</f>
        <v/>
      </c>
      <c r="C48" s="163">
        <f>C9+SUM($B$42:B$42)/3600</f>
        <v/>
      </c>
      <c r="D48" s="165">
        <f>D9+H$42</f>
        <v/>
      </c>
      <c r="E48" s="165">
        <f>D48*COS(RADIANS(C48))</f>
        <v/>
      </c>
      <c r="F48" s="165">
        <f>D48*SIN(RADIANS(C48))</f>
        <v/>
      </c>
      <c r="G48" s="167">
        <f>G47+E48</f>
        <v/>
      </c>
      <c r="H48" s="167">
        <f>H47+F48</f>
        <v/>
      </c>
    </row>
    <row r="49">
      <c r="A49" t="inlineStr">
        <is>
          <t>D3</t>
        </is>
      </c>
      <c r="B49" s="163">
        <f>B10+D$42/3600</f>
        <v/>
      </c>
      <c r="C49" s="163">
        <f>C10+SUM($B$42:C$42)/3600</f>
        <v/>
      </c>
      <c r="D49" s="165">
        <f>D10+I$42</f>
        <v/>
      </c>
      <c r="E49" s="165">
        <f>D49*COS(RADIANS(C49))</f>
        <v/>
      </c>
      <c r="F49" s="165">
        <f>D49*SIN(RADIANS(C49))</f>
        <v/>
      </c>
      <c r="G49" s="167">
        <f>G48+E49</f>
        <v/>
      </c>
      <c r="H49" s="167">
        <f>H48+F49</f>
        <v/>
      </c>
    </row>
    <row r="50">
      <c r="A50" t="inlineStr">
        <is>
          <t>D4</t>
        </is>
      </c>
      <c r="B50" s="163">
        <f>B11+E$42/3600</f>
        <v/>
      </c>
      <c r="C50" s="163">
        <f>C11+SUM($B$42:D$42)/3600</f>
        <v/>
      </c>
      <c r="D50" s="165">
        <f>D11+J$42</f>
        <v/>
      </c>
      <c r="E50" s="165">
        <f>D50*COS(RADIANS(C50))</f>
        <v/>
      </c>
      <c r="F50" s="165">
        <f>D50*SIN(RADIANS(C50))</f>
        <v/>
      </c>
      <c r="G50" s="167">
        <f>G49+E50</f>
        <v/>
      </c>
      <c r="H50" s="167">
        <f>H49+F50</f>
        <v/>
      </c>
    </row>
    <row r="51">
      <c r="A51" t="inlineStr">
        <is>
          <t>Famarena_5</t>
        </is>
      </c>
      <c r="B51" s="163">
        <f>B12+F$42/3600</f>
        <v/>
      </c>
      <c r="C51" s="163">
        <f>C12+SUM($B$42:E$42)/3600</f>
        <v/>
      </c>
      <c r="D51" s="165">
        <f>D12+K$42</f>
        <v/>
      </c>
      <c r="E51" s="165">
        <f>D51*COS(RADIANS(C51))</f>
        <v/>
      </c>
      <c r="F51" s="165">
        <f>D51*SIN(RADIANS(C51))</f>
        <v/>
      </c>
      <c r="G51" s="167">
        <f>G50+E51</f>
        <v/>
      </c>
      <c r="H51" s="167">
        <f>H50+F51</f>
        <v/>
      </c>
    </row>
    <row r="53">
      <c r="A53" s="162" t="inlineStr">
        <is>
          <t>VERIFICACIÓN — las tres condiciones deben quedar en CERO</t>
        </is>
      </c>
    </row>
    <row r="54">
      <c r="A54" t="inlineStr">
        <is>
          <t>Σ ángulos ajustados − 540 (")</t>
        </is>
      </c>
      <c r="B54" s="168">
        <f>(SUM(B47:B51)-540)*3600</f>
        <v/>
      </c>
    </row>
    <row r="55">
      <c r="A55" t="inlineStr">
        <is>
          <t>Σ ΔN ajustadas (m)</t>
        </is>
      </c>
      <c r="B55" s="168">
        <f>SUM(E47:E51)</f>
        <v/>
      </c>
    </row>
    <row r="56">
      <c r="A56" t="inlineStr">
        <is>
          <t>Σ ΔE ajustadas (m)</t>
        </is>
      </c>
      <c r="B56" s="168">
        <f>SUM(F47:F51)</f>
        <v/>
      </c>
    </row>
    <row r="57">
      <c r="A57" t="inlineStr">
        <is>
          <t>desfase al volver al arranque (mm)</t>
        </is>
      </c>
      <c r="B57" s="164">
        <f>(G51-G46)*1000</f>
        <v/>
      </c>
      <c r="C57" s="164">
        <f>(H51-H46)*1000</f>
        <v/>
      </c>
    </row>
    <row r="59">
      <c r="A59" t="inlineStr">
        <is>
          <t>La hoja original deja −1.092" · −0.001953 m · +0.001981 m, y regresa desfasada −1.95 / +1.98 mm.</t>
        </is>
      </c>
    </row>
    <row r="60">
      <c r="A60" t="inlineStr">
        <is>
          <t>Valores esperados aquí: correcciones angulares +0.777 +0.784 +0.840 +0.830 +0.769 segundos; distancias −4.18 −3.19 +1.83 +3.62 −0.83 mm.</t>
        </is>
      </c>
    </row>
    <row r="61">
      <c r="A61" t="inlineStr">
        <is>
          <t>Coordenadas esperadas: D1 100117.4639/101515.6311 · D2 100113.1751/101528.7023 · D3 100182.2398/101581.7808 · D4 100193.8992/101558.7100 · Famarena_5 100139.8440/101491.4440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ISMAEL OSORIO</dc:creator>
  <dcterms:created xmlns:dcterms="http://purl.org/dc/terms/" xmlns:xsi="http://www.w3.org/2001/XMLSchema-instance" xsi:type="dcterms:W3CDTF">2021-11-30T16:06:50Z</dcterms:created>
  <dcterms:modified xmlns:dcterms="http://purl.org/dc/terms/" xmlns:xsi="http://www.w3.org/2001/XMLSchema-instance" xsi:type="dcterms:W3CDTF">2026-09-22T21:26:03Z</dcterms:modified>
  <cp:lastModifiedBy>USER</cp:lastModifiedBy>
</cp:coreProperties>
</file>