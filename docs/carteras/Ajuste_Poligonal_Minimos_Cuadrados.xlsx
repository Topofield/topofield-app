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sebastian r\DOCS\"/>
    </mc:Choice>
  </mc:AlternateContent>
  <xr:revisionPtr revIDLastSave="0" documentId="13_ncr:1_{6093D85E-872C-4A54-95D3-D3205039EA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LIGONAL MINIM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gtNQYrcIYj5IXKDCDTrOaZmzU8GA=="/>
    </ext>
  </extLst>
</workbook>
</file>

<file path=xl/calcChain.xml><?xml version="1.0" encoding="utf-8"?>
<calcChain xmlns="http://schemas.openxmlformats.org/spreadsheetml/2006/main">
  <c r="O71" i="1" l="1"/>
  <c r="P71" i="1"/>
  <c r="E66" i="1"/>
  <c r="E67" i="1"/>
  <c r="E68" i="1"/>
  <c r="E69" i="1"/>
  <c r="E70" i="1"/>
  <c r="E65" i="1"/>
  <c r="F65" i="1"/>
  <c r="F66" i="1"/>
  <c r="F67" i="1"/>
  <c r="F68" i="1"/>
  <c r="F69" i="1"/>
  <c r="F70" i="1"/>
  <c r="F63" i="1"/>
  <c r="G22" i="1"/>
  <c r="I27" i="1" l="1"/>
  <c r="C36" i="1"/>
  <c r="C38" i="1" s="1"/>
  <c r="F25" i="1"/>
  <c r="F24" i="1"/>
  <c r="F26" i="1" s="1"/>
  <c r="G26" i="1" s="1"/>
  <c r="I36" i="1" s="1"/>
  <c r="N21" i="1"/>
  <c r="N33" i="1" s="1"/>
  <c r="M21" i="1"/>
  <c r="N32" i="1" s="1"/>
  <c r="N20" i="1"/>
  <c r="M33" i="1" s="1"/>
  <c r="M20" i="1"/>
  <c r="M32" i="1" s="1"/>
  <c r="N19" i="1"/>
  <c r="L33" i="1" s="1"/>
  <c r="M19" i="1"/>
  <c r="L32" i="1" s="1"/>
  <c r="N18" i="1"/>
  <c r="K33" i="1" s="1"/>
  <c r="M18" i="1"/>
  <c r="K32" i="1" s="1"/>
  <c r="N17" i="1"/>
  <c r="J33" i="1" s="1"/>
  <c r="M17" i="1"/>
  <c r="J32" i="1" s="1"/>
  <c r="N16" i="1"/>
  <c r="I33" i="1" s="1"/>
  <c r="M16" i="1"/>
  <c r="I32" i="1" s="1"/>
  <c r="J27" i="1" l="1"/>
  <c r="K27" i="1" s="1"/>
  <c r="I18" i="1"/>
  <c r="B43" i="1"/>
  <c r="J16" i="1"/>
  <c r="J17" i="1"/>
  <c r="J18" i="1"/>
  <c r="J20" i="1"/>
  <c r="I17" i="1"/>
  <c r="I19" i="1"/>
  <c r="J19" i="1"/>
  <c r="I16" i="1"/>
  <c r="J21" i="1"/>
  <c r="H43" i="1"/>
  <c r="D43" i="1"/>
  <c r="G43" i="1"/>
  <c r="C43" i="1"/>
  <c r="H45" i="1"/>
  <c r="F43" i="1"/>
  <c r="H44" i="1"/>
  <c r="E43" i="1"/>
  <c r="G32" i="1"/>
  <c r="G44" i="1" s="1"/>
  <c r="I21" i="1"/>
  <c r="G33" i="1" s="1"/>
  <c r="G45" i="1" s="1"/>
  <c r="I20" i="1"/>
  <c r="F32" i="1" l="1"/>
  <c r="F44" i="1" s="1"/>
  <c r="K16" i="1"/>
  <c r="K17" i="1" s="1"/>
  <c r="K18" i="1" s="1"/>
  <c r="K19" i="1" s="1"/>
  <c r="B33" i="1"/>
  <c r="B45" i="1" s="1"/>
  <c r="L16" i="1"/>
  <c r="L17" i="1" s="1"/>
  <c r="L18" i="1" s="1"/>
  <c r="L19" i="1" s="1"/>
  <c r="L20" i="1" s="1"/>
  <c r="L21" i="1" s="1"/>
  <c r="B32" i="1"/>
  <c r="B44" i="1" s="1"/>
  <c r="I24" i="1"/>
  <c r="E32" i="1"/>
  <c r="E44" i="1" s="1"/>
  <c r="J24" i="1"/>
  <c r="C32" i="1"/>
  <c r="C44" i="1" s="1"/>
  <c r="D32" i="1"/>
  <c r="D44" i="1" s="1"/>
  <c r="D33" i="1"/>
  <c r="D45" i="1" s="1"/>
  <c r="C33" i="1"/>
  <c r="C45" i="1" s="1"/>
  <c r="F33" i="1"/>
  <c r="F45" i="1" s="1"/>
  <c r="K20" i="1"/>
  <c r="K21" i="1" s="1"/>
  <c r="I37" i="1"/>
  <c r="E33" i="1"/>
  <c r="E45" i="1" s="1"/>
  <c r="I38" i="1" l="1"/>
  <c r="F38" i="1"/>
  <c r="L43" i="1" l="1"/>
  <c r="I45" i="1"/>
  <c r="K44" i="1"/>
  <c r="I43" i="1"/>
  <c r="C48" i="1" s="1" a="1"/>
  <c r="J43" i="1"/>
  <c r="N43" i="1"/>
  <c r="J44" i="1"/>
  <c r="L44" i="1"/>
  <c r="J45" i="1"/>
  <c r="N45" i="1"/>
  <c r="M43" i="1"/>
  <c r="M45" i="1"/>
  <c r="L45" i="1"/>
  <c r="K45" i="1"/>
  <c r="K43" i="1"/>
  <c r="I44" i="1"/>
  <c r="N44" i="1"/>
  <c r="M44" i="1"/>
  <c r="C48" i="1" l="1"/>
  <c r="D59" i="1"/>
  <c r="C54" i="1"/>
  <c r="E48" i="1"/>
  <c r="D56" i="1"/>
  <c r="C51" i="1"/>
  <c r="E59" i="1"/>
  <c r="D54" i="1"/>
  <c r="C49" i="1"/>
  <c r="C56" i="1"/>
  <c r="E50" i="1"/>
  <c r="E49" i="1"/>
  <c r="C53" i="1"/>
  <c r="E54" i="1"/>
  <c r="E56" i="1"/>
  <c r="D51" i="1"/>
  <c r="C59" i="1"/>
  <c r="E53" i="1"/>
  <c r="C57" i="1"/>
  <c r="E51" i="1"/>
  <c r="D53" i="1"/>
  <c r="C50" i="1"/>
  <c r="D52" i="1"/>
  <c r="E55" i="1"/>
  <c r="D57" i="1"/>
  <c r="C58" i="1"/>
  <c r="E52" i="1"/>
  <c r="D60" i="1"/>
  <c r="C55" i="1"/>
  <c r="D58" i="1"/>
  <c r="C60" i="1"/>
  <c r="D49" i="1"/>
  <c r="D48" i="1"/>
  <c r="E58" i="1"/>
  <c r="D55" i="1"/>
  <c r="E57" i="1"/>
  <c r="E60" i="1"/>
  <c r="D50" i="1"/>
  <c r="C52" i="1"/>
  <c r="G48" i="1" l="1" a="1"/>
  <c r="G48" i="1" s="1"/>
  <c r="H50" i="1" l="1"/>
  <c r="G49" i="1"/>
  <c r="H49" i="1"/>
  <c r="I50" i="1"/>
  <c r="I49" i="1"/>
  <c r="H48" i="1"/>
  <c r="G53" i="1" s="1" a="1"/>
  <c r="G53" i="1" s="1"/>
  <c r="G50" i="1"/>
  <c r="I48" i="1"/>
  <c r="G55" i="1" l="1"/>
  <c r="G54" i="1"/>
  <c r="H54" i="1"/>
  <c r="I55" i="1"/>
  <c r="I54" i="1"/>
  <c r="H53" i="1"/>
  <c r="H58" i="1" s="1" a="1"/>
  <c r="H55" i="1"/>
  <c r="I53" i="1"/>
  <c r="H58" i="1" l="1"/>
  <c r="H60" i="1"/>
  <c r="H59" i="1"/>
  <c r="K48" i="1" l="1" a="1"/>
  <c r="K50" i="1" l="1"/>
  <c r="L50" i="1" s="1"/>
  <c r="N50" i="1" s="1"/>
  <c r="A66" i="1" s="1"/>
  <c r="E75" i="1" s="1"/>
  <c r="K56" i="1"/>
  <c r="L56" i="1" s="1"/>
  <c r="N56" i="1" s="1"/>
  <c r="I66" i="1" s="1"/>
  <c r="K57" i="1"/>
  <c r="L57" i="1" s="1"/>
  <c r="N57" i="1" s="1"/>
  <c r="I67" i="1" s="1"/>
  <c r="K51" i="1"/>
  <c r="L51" i="1" s="1"/>
  <c r="N51" i="1" s="1"/>
  <c r="A67" i="1" s="1"/>
  <c r="E76" i="1" s="1"/>
  <c r="K49" i="1"/>
  <c r="L49" i="1" s="1"/>
  <c r="N49" i="1" s="1"/>
  <c r="A65" i="1" s="1"/>
  <c r="E74" i="1" s="1"/>
  <c r="K53" i="1"/>
  <c r="L53" i="1" s="1"/>
  <c r="N53" i="1" s="1"/>
  <c r="A69" i="1" s="1"/>
  <c r="E78" i="1" s="1"/>
  <c r="K59" i="1"/>
  <c r="L59" i="1" s="1"/>
  <c r="N59" i="1" s="1"/>
  <c r="I69" i="1" s="1"/>
  <c r="K55" i="1"/>
  <c r="L55" i="1" s="1"/>
  <c r="N55" i="1" s="1"/>
  <c r="K54" i="1"/>
  <c r="L54" i="1" s="1"/>
  <c r="N54" i="1" s="1"/>
  <c r="A70" i="1" s="1"/>
  <c r="K48" i="1"/>
  <c r="L48" i="1" s="1"/>
  <c r="N48" i="1" s="1"/>
  <c r="K58" i="1"/>
  <c r="L58" i="1" s="1"/>
  <c r="N58" i="1" s="1"/>
  <c r="I68" i="1" s="1"/>
  <c r="K52" i="1"/>
  <c r="L52" i="1" s="1"/>
  <c r="N52" i="1" s="1"/>
  <c r="A68" i="1" s="1"/>
  <c r="E77" i="1" s="1"/>
  <c r="K60" i="1"/>
  <c r="L60" i="1" s="1"/>
  <c r="N60" i="1" s="1"/>
  <c r="I70" i="1" s="1"/>
  <c r="A64" i="1" l="1"/>
  <c r="P47" i="1"/>
  <c r="I65" i="1"/>
  <c r="J65" i="1" s="1"/>
  <c r="P55" i="1"/>
  <c r="P59" i="1"/>
  <c r="J69" i="1"/>
  <c r="P56" i="1"/>
  <c r="J66" i="1"/>
  <c r="P58" i="1"/>
  <c r="J68" i="1"/>
  <c r="J67" i="1"/>
  <c r="P57" i="1"/>
  <c r="E73" i="1"/>
  <c r="B64" i="1"/>
  <c r="J70" i="1"/>
  <c r="P60" i="1"/>
  <c r="E80" i="1"/>
  <c r="B65" i="1" l="1"/>
  <c r="G65" i="1"/>
  <c r="P61" i="1"/>
  <c r="O65" i="1" l="1"/>
  <c r="K65" i="1" s="1"/>
  <c r="M65" i="1" s="1"/>
  <c r="P65" i="1"/>
  <c r="L65" i="1" s="1"/>
  <c r="N65" i="1" s="1"/>
  <c r="B66" i="1"/>
  <c r="G66" i="1"/>
  <c r="P66" i="1" l="1"/>
  <c r="L66" i="1" s="1"/>
  <c r="N66" i="1" s="1"/>
  <c r="O66" i="1"/>
  <c r="K66" i="1" s="1"/>
  <c r="M66" i="1" s="1"/>
  <c r="B67" i="1"/>
  <c r="G67" i="1"/>
  <c r="O67" i="1" l="1"/>
  <c r="K67" i="1" s="1"/>
  <c r="M67" i="1" s="1"/>
  <c r="P67" i="1"/>
  <c r="L67" i="1" s="1"/>
  <c r="N67" i="1" s="1"/>
  <c r="G68" i="1"/>
  <c r="B68" i="1"/>
  <c r="O68" i="1" l="1"/>
  <c r="K68" i="1" s="1"/>
  <c r="M68" i="1" s="1"/>
  <c r="P68" i="1"/>
  <c r="L68" i="1" s="1"/>
  <c r="N68" i="1" s="1"/>
  <c r="B69" i="1"/>
  <c r="G69" i="1"/>
  <c r="P69" i="1" l="1"/>
  <c r="L69" i="1" s="1"/>
  <c r="N69" i="1" s="1"/>
  <c r="O69" i="1"/>
  <c r="K69" i="1" s="1"/>
  <c r="M69" i="1" s="1"/>
  <c r="B70" i="1"/>
  <c r="G70" i="1"/>
  <c r="P70" i="1" l="1"/>
  <c r="L70" i="1" s="1"/>
  <c r="N70" i="1" s="1"/>
  <c r="O70" i="1"/>
  <c r="K70" i="1" s="1"/>
  <c r="M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ID#AAAAjYXszbw
UsuarioPro    (2022-11-04 03:58:21)
Radian</t>
        </r>
      </text>
    </comment>
    <comment ref="A6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ID#AAAAjYXszb0
UsuarioPro    (2022-11-04 03:58:21)
Para correción al azimut se debe hacer acumulando el error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HkAVPNBcBaQEU340+RX9gJiywTQ=="/>
    </ext>
  </extLst>
</comments>
</file>

<file path=xl/sharedStrings.xml><?xml version="1.0" encoding="utf-8"?>
<sst xmlns="http://schemas.openxmlformats.org/spreadsheetml/2006/main" count="85" uniqueCount="62">
  <si>
    <t xml:space="preserve">POLIGONAL CERRADA </t>
  </si>
  <si>
    <t>PROYECTO:</t>
  </si>
  <si>
    <t>POLIGONAL CERRADA U DISTRITAL SEDE VIVERO, AJUSTE POR MÍNIMOS CUADRADOS</t>
  </si>
  <si>
    <t>TOPOGRAFO:</t>
  </si>
  <si>
    <t>GRUPO DE TRABAJO 3</t>
  </si>
  <si>
    <t>DIRECCIÓN:</t>
  </si>
  <si>
    <t>CRA 5 #15-82, SEDE VIVERO</t>
  </si>
  <si>
    <t>FECHA:</t>
  </si>
  <si>
    <t>AÑO</t>
  </si>
  <si>
    <t xml:space="preserve">MES </t>
  </si>
  <si>
    <t>DIA</t>
  </si>
  <si>
    <t>HOJA:</t>
  </si>
  <si>
    <t>DE</t>
  </si>
  <si>
    <t>Delta</t>
  </si>
  <si>
    <t>Punto</t>
  </si>
  <si>
    <t>Ang. Ext</t>
  </si>
  <si>
    <t>Azimut</t>
  </si>
  <si>
    <t>Dist. Horz.</t>
  </si>
  <si>
    <t>Proy. (N-S)</t>
  </si>
  <si>
    <t>Proy. (E-W)</t>
  </si>
  <si>
    <t>C. NORTE</t>
  </si>
  <si>
    <t>C. ESTE</t>
  </si>
  <si>
    <t>COSENO</t>
  </si>
  <si>
    <t>SENO</t>
  </si>
  <si>
    <t>14_IS1</t>
  </si>
  <si>
    <t>Famarena_5</t>
  </si>
  <si>
    <t>D1</t>
  </si>
  <si>
    <t>D2</t>
  </si>
  <si>
    <t>D3</t>
  </si>
  <si>
    <t>D4</t>
  </si>
  <si>
    <t>∑= Ang</t>
  </si>
  <si>
    <t>∑= Proyec</t>
  </si>
  <si>
    <t>e Teorico</t>
  </si>
  <si>
    <t>e =</t>
  </si>
  <si>
    <t>segundos</t>
  </si>
  <si>
    <t>M-CONDICIÓN</t>
  </si>
  <si>
    <t>Angulos</t>
  </si>
  <si>
    <t>Distancias</t>
  </si>
  <si>
    <t>ponderacion ang</t>
  </si>
  <si>
    <t>Ponderacion de distancias</t>
  </si>
  <si>
    <t>k matriz de errores</t>
  </si>
  <si>
    <t>K-Ang</t>
  </si>
  <si>
    <t># Med</t>
  </si>
  <si>
    <t>e-ang</t>
  </si>
  <si>
    <t>presci</t>
  </si>
  <si>
    <t>Error</t>
  </si>
  <si>
    <t>e-pn</t>
  </si>
  <si>
    <t>pon_ang</t>
  </si>
  <si>
    <t>Pon_dis</t>
  </si>
  <si>
    <t>e-pe</t>
  </si>
  <si>
    <t>Matris A</t>
  </si>
  <si>
    <t>A-trans</t>
  </si>
  <si>
    <t>Matriz B</t>
  </si>
  <si>
    <t>R=AT*C</t>
  </si>
  <si>
    <t>ponderacion</t>
  </si>
  <si>
    <t>Converción</t>
  </si>
  <si>
    <t>B-INV</t>
  </si>
  <si>
    <t>C=B(INV)*K</t>
  </si>
  <si>
    <t>Azimut Corr</t>
  </si>
  <si>
    <t>Corr</t>
  </si>
  <si>
    <t>Dist. Horz. Corr</t>
  </si>
  <si>
    <t>Debe llegar al error 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</si>
</sst>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0"/>
    <numFmt numFmtId="165" formatCode="0.000"/>
    <numFmt numFmtId="166" formatCode="0.00000"/>
    <numFmt numFmtId="167" formatCode="0.0000000"/>
    <numFmt numFmtId="168" formatCode="0.0000"/>
    <numFmt numFmtId="169" formatCode="0.000000000"/>
    <numFmt numFmtId="170" formatCode="0.0E+00"/>
    <numFmt numFmtId="171" formatCode="0.0000000000"/>
    <numFmt numFmtId="172" formatCode="0.00000000"/>
  </numFmts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Arial"/>
    </font>
    <font>
      <sz val="11"/>
      <name val="Calibri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b/>
      <sz val="10"/>
      <color theme="0"/>
      <name val="Arial"/>
    </font>
    <font>
      <sz val="10"/>
      <color rgb="FF00B0F0"/>
      <name val="Arial"/>
    </font>
    <font>
      <sz val="10"/>
      <color theme="0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1"/>
      <color rgb="FFFF0000"/>
      <name val="Calibri"/>
    </font>
    <font>
      <u/>
      <sz val="10"/>
      <color theme="1"/>
      <name val="Arial"/>
    </font>
    <font>
      <sz val="10"/>
      <color rgb="FFFF0000"/>
      <name val="Calibri"/>
    </font>
    <font>
      <sz val="8"/>
      <color theme="1"/>
      <name val="Arial"/>
    </font>
    <font>
      <sz val="8"/>
      <color rgb="FF0070C0"/>
      <name val="Arial"/>
    </font>
    <font>
      <sz val="11"/>
      <color theme="0"/>
      <name val="Calibri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0" applyFont="1"/>
    <xf numFmtId="0" fontId="7" fillId="2" borderId="12" xfId="0" applyFont="1" applyFill="1" applyBorder="1" applyAlignment="1">
      <alignment horizontal="center"/>
    </xf>
    <xf numFmtId="164" fontId="6" fillId="2" borderId="1" xfId="0" applyNumberFormat="1" applyFont="1" applyFill="1" applyBorder="1"/>
    <xf numFmtId="0" fontId="8" fillId="2" borderId="12" xfId="0" applyFont="1" applyFill="1" applyBorder="1"/>
    <xf numFmtId="0" fontId="8" fillId="2" borderId="12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2" borderId="12" xfId="0" applyFont="1" applyFill="1" applyBorder="1"/>
    <xf numFmtId="0" fontId="6" fillId="2" borderId="12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1" fillId="2" borderId="1" xfId="0" applyFont="1" applyFill="1" applyBorder="1"/>
    <xf numFmtId="0" fontId="6" fillId="2" borderId="1" xfId="0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2" fillId="0" borderId="0" xfId="0" applyFont="1"/>
    <xf numFmtId="164" fontId="6" fillId="2" borderId="12" xfId="0" applyNumberFormat="1" applyFont="1" applyFill="1" applyBorder="1" applyAlignment="1">
      <alignment horizontal="right"/>
    </xf>
    <xf numFmtId="165" fontId="6" fillId="2" borderId="12" xfId="0" applyNumberFormat="1" applyFont="1" applyFill="1" applyBorder="1" applyAlignment="1">
      <alignment horizontal="center"/>
    </xf>
    <xf numFmtId="166" fontId="11" fillId="2" borderId="1" xfId="0" applyNumberFormat="1" applyFont="1" applyFill="1" applyBorder="1"/>
    <xf numFmtId="0" fontId="6" fillId="2" borderId="1" xfId="0" applyFont="1" applyFill="1" applyBorder="1" applyAlignment="1">
      <alignment horizontal="right"/>
    </xf>
    <xf numFmtId="164" fontId="6" fillId="2" borderId="12" xfId="0" applyNumberFormat="1" applyFont="1" applyFill="1" applyBorder="1" applyAlignment="1">
      <alignment horizontal="center"/>
    </xf>
    <xf numFmtId="167" fontId="10" fillId="2" borderId="12" xfId="0" applyNumberFormat="1" applyFont="1" applyFill="1" applyBorder="1" applyAlignment="1">
      <alignment horizontal="center"/>
    </xf>
    <xf numFmtId="166" fontId="6" fillId="2" borderId="1" xfId="0" applyNumberFormat="1" applyFont="1" applyFill="1" applyBorder="1"/>
    <xf numFmtId="166" fontId="6" fillId="2" borderId="1" xfId="0" applyNumberFormat="1" applyFont="1" applyFill="1" applyBorder="1" applyAlignment="1">
      <alignment horizontal="center"/>
    </xf>
    <xf numFmtId="167" fontId="10" fillId="2" borderId="1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168" fontId="6" fillId="2" borderId="1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13" fillId="2" borderId="12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/>
    </xf>
    <xf numFmtId="167" fontId="12" fillId="2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10" fillId="0" borderId="0" xfId="0" applyFont="1"/>
    <xf numFmtId="0" fontId="12" fillId="2" borderId="15" xfId="0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1" fillId="2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5" fillId="0" borderId="0" xfId="0" applyFont="1"/>
    <xf numFmtId="0" fontId="1" fillId="2" borderId="12" xfId="0" applyFont="1" applyFill="1" applyBorder="1"/>
    <xf numFmtId="166" fontId="1" fillId="2" borderId="12" xfId="0" applyNumberFormat="1" applyFont="1" applyFill="1" applyBorder="1"/>
    <xf numFmtId="0" fontId="17" fillId="2" borderId="12" xfId="0" applyFont="1" applyFill="1" applyBorder="1" applyAlignment="1">
      <alignment horizontal="center"/>
    </xf>
    <xf numFmtId="0" fontId="17" fillId="2" borderId="12" xfId="0" applyFont="1" applyFill="1" applyBorder="1"/>
    <xf numFmtId="168" fontId="1" fillId="2" borderId="12" xfId="0" applyNumberFormat="1" applyFont="1" applyFill="1" applyBorder="1"/>
    <xf numFmtId="165" fontId="18" fillId="2" borderId="12" xfId="0" applyNumberFormat="1" applyFont="1" applyFill="1" applyBorder="1" applyAlignment="1">
      <alignment horizontal="center"/>
    </xf>
    <xf numFmtId="169" fontId="1" fillId="2" borderId="12" xfId="0" applyNumberFormat="1" applyFont="1" applyFill="1" applyBorder="1"/>
    <xf numFmtId="1" fontId="1" fillId="2" borderId="12" xfId="0" applyNumberFormat="1" applyFont="1" applyFill="1" applyBorder="1"/>
    <xf numFmtId="167" fontId="1" fillId="2" borderId="12" xfId="0" applyNumberFormat="1" applyFont="1" applyFill="1" applyBorder="1"/>
    <xf numFmtId="164" fontId="1" fillId="2" borderId="12" xfId="0" applyNumberFormat="1" applyFont="1" applyFill="1" applyBorder="1"/>
    <xf numFmtId="0" fontId="14" fillId="2" borderId="12" xfId="0" applyFont="1" applyFill="1" applyBorder="1" applyAlignment="1">
      <alignment horizontal="center"/>
    </xf>
    <xf numFmtId="167" fontId="1" fillId="0" borderId="0" xfId="0" applyNumberFormat="1" applyFont="1"/>
    <xf numFmtId="0" fontId="1" fillId="0" borderId="0" xfId="0" applyFont="1"/>
    <xf numFmtId="0" fontId="19" fillId="2" borderId="1" xfId="0" applyFont="1" applyFill="1" applyBorder="1"/>
    <xf numFmtId="165" fontId="1" fillId="2" borderId="12" xfId="0" applyNumberFormat="1" applyFont="1" applyFill="1" applyBorder="1"/>
    <xf numFmtId="0" fontId="8" fillId="2" borderId="18" xfId="0" applyFont="1" applyFill="1" applyBorder="1"/>
    <xf numFmtId="0" fontId="8" fillId="2" borderId="19" xfId="0" applyFont="1" applyFill="1" applyBorder="1"/>
    <xf numFmtId="0" fontId="8" fillId="2" borderId="1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21" xfId="0" applyFont="1" applyFill="1" applyBorder="1"/>
    <xf numFmtId="0" fontId="6" fillId="2" borderId="22" xfId="0" applyFont="1" applyFill="1" applyBorder="1" applyAlignment="1">
      <alignment horizontal="center"/>
    </xf>
    <xf numFmtId="0" fontId="11" fillId="0" borderId="0" xfId="0" applyFont="1"/>
    <xf numFmtId="171" fontId="6" fillId="2" borderId="12" xfId="0" applyNumberFormat="1" applyFont="1" applyFill="1" applyBorder="1"/>
    <xf numFmtId="167" fontId="6" fillId="2" borderId="12" xfId="0" applyNumberFormat="1" applyFont="1" applyFill="1" applyBorder="1" applyAlignment="1">
      <alignment horizontal="center"/>
    </xf>
    <xf numFmtId="166" fontId="11" fillId="0" borderId="0" xfId="0" applyNumberFormat="1" applyFont="1"/>
    <xf numFmtId="166" fontId="6" fillId="0" borderId="0" xfId="0" applyNumberFormat="1" applyFont="1"/>
    <xf numFmtId="0" fontId="6" fillId="2" borderId="23" xfId="0" applyFont="1" applyFill="1" applyBorder="1"/>
    <xf numFmtId="165" fontId="12" fillId="2" borderId="24" xfId="0" applyNumberFormat="1" applyFont="1" applyFill="1" applyBorder="1"/>
    <xf numFmtId="164" fontId="6" fillId="2" borderId="24" xfId="0" applyNumberFormat="1" applyFont="1" applyFill="1" applyBorder="1" applyAlignment="1">
      <alignment horizontal="center"/>
    </xf>
    <xf numFmtId="167" fontId="10" fillId="2" borderId="24" xfId="0" applyNumberFormat="1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1" fillId="0" borderId="0" xfId="0" applyNumberFormat="1" applyFont="1"/>
    <xf numFmtId="167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21" fillId="2" borderId="12" xfId="0" applyFont="1" applyFill="1" applyBorder="1" applyAlignment="1">
      <alignment horizontal="center"/>
    </xf>
    <xf numFmtId="164" fontId="21" fillId="2" borderId="12" xfId="0" applyNumberFormat="1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0" fillId="0" borderId="0" xfId="0" applyFont="1"/>
    <xf numFmtId="164" fontId="1" fillId="2" borderId="12" xfId="0" applyNumberFormat="1" applyFont="1" applyFill="1" applyBorder="1" applyAlignment="1">
      <alignment horizontal="center"/>
    </xf>
    <xf numFmtId="165" fontId="6" fillId="2" borderId="24" xfId="0" applyNumberFormat="1" applyFont="1" applyFill="1" applyBorder="1" applyAlignment="1">
      <alignment horizontal="center"/>
    </xf>
    <xf numFmtId="172" fontId="1" fillId="2" borderId="1" xfId="0" applyNumberFormat="1" applyFont="1" applyFill="1" applyBorder="1"/>
    <xf numFmtId="165" fontId="1" fillId="2" borderId="1" xfId="0" applyNumberFormat="1" applyFont="1" applyFill="1" applyBorder="1"/>
    <xf numFmtId="0" fontId="23" fillId="2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72" fontId="1" fillId="2" borderId="12" xfId="0" applyNumberFormat="1" applyFont="1" applyFill="1" applyBorder="1"/>
    <xf numFmtId="0" fontId="14" fillId="2" borderId="15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3" fillId="0" borderId="26" xfId="0" applyFont="1" applyBorder="1"/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3" fillId="0" borderId="9" xfId="0" applyFont="1" applyBorder="1"/>
    <xf numFmtId="0" fontId="12" fillId="2" borderId="8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3" fillId="0" borderId="10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4" fillId="2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1" fillId="2" borderId="1" xfId="0" applyFont="1" applyFill="1" applyBorder="1"/>
    <xf numFmtId="166" fontId="21" fillId="2" borderId="1" xfId="0" applyNumberFormat="1" applyFont="1" applyFill="1" applyBorder="1"/>
    <xf numFmtId="167" fontId="24" fillId="2" borderId="1" xfId="0" applyNumberFormat="1" applyFont="1" applyFill="1" applyBorder="1"/>
    <xf numFmtId="0" fontId="24" fillId="2" borderId="1" xfId="0" applyFont="1" applyFill="1" applyBorder="1"/>
    <xf numFmtId="167" fontId="1" fillId="2" borderId="13" xfId="0" applyNumberFormat="1" applyFont="1" applyFill="1" applyBorder="1" applyAlignment="1">
      <alignment horizontal="left"/>
    </xf>
    <xf numFmtId="167" fontId="1" fillId="2" borderId="28" xfId="0" applyNumberFormat="1" applyFont="1" applyFill="1" applyBorder="1" applyAlignment="1">
      <alignment horizontal="left"/>
    </xf>
    <xf numFmtId="167" fontId="1" fillId="2" borderId="27" xfId="0" applyNumberFormat="1" applyFont="1" applyFill="1" applyBorder="1" applyAlignment="1">
      <alignment horizontal="left"/>
    </xf>
    <xf numFmtId="167" fontId="1" fillId="2" borderId="29" xfId="0" applyNumberFormat="1" applyFont="1" applyFill="1" applyBorder="1" applyAlignment="1">
      <alignment horizontal="left"/>
    </xf>
    <xf numFmtId="0" fontId="1" fillId="2" borderId="30" xfId="0" applyFont="1" applyFill="1" applyBorder="1"/>
    <xf numFmtId="0" fontId="24" fillId="2" borderId="1" xfId="0" applyFont="1" applyFill="1" applyBorder="1" applyAlignment="1">
      <alignment horizontal="center"/>
    </xf>
    <xf numFmtId="170" fontId="24" fillId="2" borderId="1" xfId="0" applyNumberFormat="1" applyFont="1" applyFill="1" applyBorder="1"/>
    <xf numFmtId="0" fontId="2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90" zoomScaleNormal="90" workbookViewId="0">
      <selection activeCell="M67" sqref="M67"/>
    </sheetView>
  </sheetViews>
  <sheetFormatPr baseColWidth="10" defaultColWidth="14.42578125" defaultRowHeight="15" customHeight="1"/>
  <cols>
    <col min="1" max="1" width="10.7109375" customWidth="1"/>
    <col min="2" max="2" width="12.5703125" customWidth="1"/>
    <col min="3" max="3" width="13" customWidth="1"/>
    <col min="4" max="4" width="16.7109375" customWidth="1"/>
    <col min="5" max="5" width="13.5703125" customWidth="1"/>
    <col min="6" max="6" width="13" customWidth="1"/>
    <col min="7" max="7" width="13.28515625" customWidth="1"/>
    <col min="8" max="8" width="12.85546875" customWidth="1"/>
    <col min="9" max="9" width="13" customWidth="1"/>
    <col min="10" max="10" width="14.5703125" customWidth="1"/>
    <col min="11" max="11" width="12.7109375" customWidth="1"/>
    <col min="12" max="12" width="12.140625" customWidth="1"/>
    <col min="13" max="13" width="12.28515625" customWidth="1"/>
    <col min="14" max="17" width="13" customWidth="1"/>
    <col min="18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1"/>
      <c r="B2" s="1"/>
      <c r="C2" s="1"/>
      <c r="D2" s="1"/>
      <c r="E2" s="1"/>
      <c r="F2" s="121" t="s">
        <v>0</v>
      </c>
      <c r="G2" s="122"/>
      <c r="H2" s="122"/>
      <c r="I2" s="122"/>
      <c r="J2" s="122"/>
      <c r="K2" s="122"/>
      <c r="L2" s="123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1"/>
      <c r="B3" s="1"/>
      <c r="C3" s="1"/>
      <c r="D3" s="1"/>
      <c r="E3" s="1"/>
      <c r="F3" s="124"/>
      <c r="G3" s="125"/>
      <c r="H3" s="125"/>
      <c r="I3" s="125"/>
      <c r="J3" s="125"/>
      <c r="K3" s="125"/>
      <c r="L3" s="126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>
      <c r="A4" s="1"/>
      <c r="B4" s="1"/>
      <c r="C4" s="1"/>
      <c r="D4" s="1"/>
      <c r="E4" s="1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27" t="s">
        <v>1</v>
      </c>
      <c r="G5" s="123"/>
      <c r="H5" s="128" t="s">
        <v>2</v>
      </c>
      <c r="I5" s="122"/>
      <c r="J5" s="122"/>
      <c r="K5" s="122"/>
      <c r="L5" s="123"/>
      <c r="M5" s="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"/>
      <c r="F6" s="124"/>
      <c r="G6" s="126"/>
      <c r="H6" s="124"/>
      <c r="I6" s="125"/>
      <c r="J6" s="125"/>
      <c r="K6" s="125"/>
      <c r="L6" s="126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16" t="s">
        <v>3</v>
      </c>
      <c r="G7" s="109"/>
      <c r="H7" s="117" t="s">
        <v>4</v>
      </c>
      <c r="I7" s="115"/>
      <c r="J7" s="115"/>
      <c r="K7" s="115"/>
      <c r="L7" s="109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16" t="s">
        <v>5</v>
      </c>
      <c r="G8" s="109"/>
      <c r="H8" s="117" t="s">
        <v>6</v>
      </c>
      <c r="I8" s="115"/>
      <c r="J8" s="115"/>
      <c r="K8" s="115"/>
      <c r="L8" s="109"/>
      <c r="M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B10" s="1"/>
      <c r="C10" s="1"/>
      <c r="D10" s="118" t="s">
        <v>7</v>
      </c>
      <c r="E10" s="120" t="s">
        <v>8</v>
      </c>
      <c r="F10" s="109"/>
      <c r="G10" s="5" t="s">
        <v>9</v>
      </c>
      <c r="H10" s="5" t="s">
        <v>10</v>
      </c>
      <c r="I10" s="118" t="s">
        <v>11</v>
      </c>
      <c r="J10" s="118">
        <v>1</v>
      </c>
      <c r="K10" s="118" t="s">
        <v>12</v>
      </c>
      <c r="L10" s="118">
        <v>1</v>
      </c>
      <c r="M10" s="1"/>
      <c r="N10" s="1"/>
      <c r="O10" s="6"/>
      <c r="P10" s="6"/>
      <c r="Q10" s="7"/>
      <c r="R10" s="7"/>
      <c r="S10" s="7"/>
      <c r="T10" s="7"/>
    </row>
    <row r="11" spans="1:26" ht="15" customHeight="1">
      <c r="A11" s="1"/>
      <c r="B11" s="1"/>
      <c r="C11" s="1"/>
      <c r="D11" s="119"/>
      <c r="E11" s="116">
        <v>2021</v>
      </c>
      <c r="F11" s="109"/>
      <c r="G11" s="8">
        <v>11</v>
      </c>
      <c r="H11" s="8">
        <v>4</v>
      </c>
      <c r="I11" s="119"/>
      <c r="J11" s="119"/>
      <c r="K11" s="119"/>
      <c r="L11" s="119"/>
      <c r="M11" s="1"/>
      <c r="N11" s="6"/>
      <c r="O11" s="6"/>
      <c r="P11" s="9"/>
      <c r="Q11" s="7"/>
      <c r="R11" s="7"/>
      <c r="S11" s="7"/>
      <c r="T11" s="7"/>
    </row>
    <row r="12" spans="1:26">
      <c r="A12" s="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9"/>
      <c r="P12" s="7"/>
      <c r="Q12" s="7"/>
      <c r="R12" s="7"/>
      <c r="S12" s="7"/>
    </row>
    <row r="13" spans="1:26" ht="15" customHeight="1">
      <c r="A13" s="1"/>
      <c r="B13" s="1"/>
      <c r="C13" s="6"/>
      <c r="D13" s="10" t="s">
        <v>13</v>
      </c>
      <c r="E13" s="10" t="s">
        <v>14</v>
      </c>
      <c r="F13" s="11" t="s">
        <v>15</v>
      </c>
      <c r="G13" s="11" t="s">
        <v>16</v>
      </c>
      <c r="H13" s="11" t="s">
        <v>17</v>
      </c>
      <c r="I13" s="11" t="s">
        <v>18</v>
      </c>
      <c r="J13" s="11" t="s">
        <v>19</v>
      </c>
      <c r="K13" s="11" t="s">
        <v>20</v>
      </c>
      <c r="L13" s="11" t="s">
        <v>21</v>
      </c>
      <c r="M13" s="12" t="s">
        <v>22</v>
      </c>
      <c r="N13" s="12" t="s">
        <v>23</v>
      </c>
      <c r="O13" s="9"/>
      <c r="P13" s="9"/>
      <c r="Q13" s="7"/>
      <c r="R13" s="7"/>
      <c r="S13" s="7"/>
      <c r="T13" s="13"/>
    </row>
    <row r="14" spans="1:26" ht="15" customHeight="1">
      <c r="A14" s="1"/>
      <c r="B14" s="1"/>
      <c r="C14" s="6"/>
      <c r="D14" s="14"/>
      <c r="E14" s="14" t="s">
        <v>24</v>
      </c>
      <c r="F14" s="15"/>
      <c r="G14" s="16">
        <v>35.002227777777776</v>
      </c>
      <c r="H14" s="14"/>
      <c r="I14" s="14"/>
      <c r="J14" s="14"/>
      <c r="K14" s="15"/>
      <c r="L14" s="15"/>
      <c r="M14" s="129"/>
      <c r="N14" s="17"/>
      <c r="O14" s="9"/>
      <c r="P14" s="18"/>
      <c r="Q14" s="7"/>
      <c r="R14" s="7"/>
      <c r="S14" s="7"/>
      <c r="T14" s="19"/>
    </row>
    <row r="15" spans="1:26">
      <c r="A15" s="1"/>
      <c r="B15" s="1"/>
      <c r="C15" s="6"/>
      <c r="D15" s="14" t="s">
        <v>25</v>
      </c>
      <c r="E15" s="14"/>
      <c r="F15" s="15"/>
      <c r="G15" s="15"/>
      <c r="H15" s="15"/>
      <c r="I15" s="14"/>
      <c r="J15" s="14"/>
      <c r="K15" s="20">
        <v>100139.844</v>
      </c>
      <c r="L15" s="20">
        <v>101491.444</v>
      </c>
      <c r="M15" s="129"/>
      <c r="N15" s="17"/>
      <c r="O15" s="9"/>
      <c r="P15" s="9"/>
      <c r="Q15" s="7"/>
      <c r="R15" s="7"/>
      <c r="S15" s="7"/>
      <c r="T15" s="21"/>
    </row>
    <row r="16" spans="1:26">
      <c r="A16" s="1"/>
      <c r="B16" s="1"/>
      <c r="C16" s="6"/>
      <c r="D16" s="14" t="s">
        <v>26</v>
      </c>
      <c r="E16" s="14"/>
      <c r="F16" s="22">
        <v>97.775555555555556</v>
      </c>
      <c r="G16" s="22">
        <v>132.77778333333333</v>
      </c>
      <c r="H16" s="23">
        <v>32.957000000000001</v>
      </c>
      <c r="I16" s="15">
        <f t="shared" ref="I16:I21" si="0">M16*H16</f>
        <v>-22.382968894855029</v>
      </c>
      <c r="J16" s="15">
        <f t="shared" ref="J16:J21" si="1">N16*H16</f>
        <v>24.190216048062741</v>
      </c>
      <c r="K16" s="15">
        <f t="shared" ref="K16:L16" si="2">K15+I16</f>
        <v>100117.46103110514</v>
      </c>
      <c r="L16" s="15">
        <f t="shared" si="2"/>
        <v>101515.63421604807</v>
      </c>
      <c r="M16" s="130">
        <f t="shared" ref="M16:M21" si="3">COS(RADIANS(G16))</f>
        <v>-0.67915674651379154</v>
      </c>
      <c r="N16" s="130">
        <f t="shared" ref="N16:N21" si="4">SIN(RADIANS(G16))</f>
        <v>0.73399326540834242</v>
      </c>
      <c r="O16" s="9"/>
      <c r="P16" s="9"/>
      <c r="Q16" s="7"/>
      <c r="R16" s="7"/>
      <c r="S16" s="7"/>
      <c r="T16" s="19"/>
    </row>
    <row r="17" spans="1:20">
      <c r="A17" s="1"/>
      <c r="B17" s="1"/>
      <c r="C17" s="6"/>
      <c r="D17" s="14" t="s">
        <v>27</v>
      </c>
      <c r="E17" s="14"/>
      <c r="F17" s="22">
        <v>155.3869444444444</v>
      </c>
      <c r="G17" s="22">
        <v>108.16505555560001</v>
      </c>
      <c r="H17" s="23">
        <v>13.76</v>
      </c>
      <c r="I17" s="15">
        <f t="shared" si="0"/>
        <v>-4.2897553590373274</v>
      </c>
      <c r="J17" s="15">
        <f t="shared" si="1"/>
        <v>13.07423416340745</v>
      </c>
      <c r="K17" s="15">
        <f t="shared" ref="K17:L17" si="5">K16+I17</f>
        <v>100113.17127574611</v>
      </c>
      <c r="L17" s="15">
        <f t="shared" si="5"/>
        <v>101528.70845021147</v>
      </c>
      <c r="M17" s="130">
        <f t="shared" si="3"/>
        <v>-0.31175547667422437</v>
      </c>
      <c r="N17" s="130">
        <f t="shared" si="4"/>
        <v>0.95016236652670427</v>
      </c>
      <c r="O17" s="9"/>
      <c r="P17" s="9"/>
      <c r="Q17" s="7"/>
      <c r="R17" s="7"/>
      <c r="S17" s="7"/>
      <c r="T17" s="21"/>
    </row>
    <row r="18" spans="1:20">
      <c r="A18" s="1"/>
      <c r="B18" s="1"/>
      <c r="C18" s="6"/>
      <c r="D18" s="14" t="s">
        <v>28</v>
      </c>
      <c r="E18" s="14"/>
      <c r="F18" s="22">
        <v>109.37777777777779</v>
      </c>
      <c r="G18" s="22">
        <v>37.542999999999999</v>
      </c>
      <c r="H18" s="23">
        <v>87.102999999999994</v>
      </c>
      <c r="I18" s="15">
        <f t="shared" si="0"/>
        <v>69.063641766311903</v>
      </c>
      <c r="J18" s="15">
        <f t="shared" si="1"/>
        <v>53.076793375019719</v>
      </c>
      <c r="K18" s="15">
        <f t="shared" ref="K18:L18" si="6">K17+I18</f>
        <v>100182.23491751243</v>
      </c>
      <c r="L18" s="15">
        <f t="shared" si="6"/>
        <v>101581.78524358649</v>
      </c>
      <c r="M18" s="130">
        <f t="shared" si="3"/>
        <v>0.79289624658521418</v>
      </c>
      <c r="N18" s="130">
        <f t="shared" si="4"/>
        <v>0.60935666251472076</v>
      </c>
      <c r="O18" s="9"/>
      <c r="P18" s="6"/>
      <c r="Q18" s="7"/>
      <c r="R18" s="7"/>
      <c r="S18" s="7"/>
      <c r="T18" s="7"/>
    </row>
    <row r="19" spans="1:20" ht="15.75" customHeight="1">
      <c r="A19" s="1"/>
      <c r="B19" s="1"/>
      <c r="C19" s="6"/>
      <c r="D19" s="14" t="s">
        <v>29</v>
      </c>
      <c r="E19" s="14"/>
      <c r="F19" s="22">
        <v>79.267222222222216</v>
      </c>
      <c r="G19" s="22">
        <v>296.81038888889998</v>
      </c>
      <c r="H19" s="23">
        <v>25.846</v>
      </c>
      <c r="I19" s="15">
        <f t="shared" si="0"/>
        <v>11.657563743635043</v>
      </c>
      <c r="J19" s="15">
        <f t="shared" si="1"/>
        <v>-23.067659689770998</v>
      </c>
      <c r="K19" s="15">
        <f t="shared" ref="K19:L19" si="7">K18+I19</f>
        <v>100193.89248125606</v>
      </c>
      <c r="L19" s="15">
        <f t="shared" si="7"/>
        <v>101558.71758389672</v>
      </c>
      <c r="M19" s="130">
        <f t="shared" si="3"/>
        <v>0.45103937722026782</v>
      </c>
      <c r="N19" s="130">
        <f t="shared" si="4"/>
        <v>-0.89250405052120241</v>
      </c>
      <c r="O19" s="9"/>
      <c r="P19" s="6"/>
      <c r="Q19" s="7"/>
      <c r="R19" s="7"/>
      <c r="S19" s="7"/>
      <c r="T19" s="7"/>
    </row>
    <row r="20" spans="1:20" ht="15.75" customHeight="1">
      <c r="A20" s="1"/>
      <c r="B20" s="1"/>
      <c r="C20" s="6"/>
      <c r="D20" s="14" t="s">
        <v>25</v>
      </c>
      <c r="E20" s="14"/>
      <c r="F20" s="22">
        <v>114.40388888888889</v>
      </c>
      <c r="G20" s="22">
        <v>231.21361666666667</v>
      </c>
      <c r="H20" s="23">
        <v>86.295000000000002</v>
      </c>
      <c r="I20" s="15">
        <f t="shared" si="0"/>
        <v>-54.056791325492611</v>
      </c>
      <c r="J20" s="15">
        <f t="shared" si="1"/>
        <v>-67.265818486004818</v>
      </c>
      <c r="K20" s="23">
        <f t="shared" ref="K20:L20" si="8">K19+I20</f>
        <v>100139.83568993057</v>
      </c>
      <c r="L20" s="23">
        <f t="shared" si="8"/>
        <v>101491.45176541072</v>
      </c>
      <c r="M20" s="130">
        <f t="shared" si="3"/>
        <v>-0.62641857958737601</v>
      </c>
      <c r="N20" s="130">
        <f t="shared" si="4"/>
        <v>-0.77948685886789282</v>
      </c>
      <c r="O20" s="9"/>
      <c r="P20" s="6"/>
      <c r="Q20" s="7"/>
      <c r="R20" s="7"/>
      <c r="S20" s="7"/>
      <c r="T20" s="7"/>
    </row>
    <row r="21" spans="1:20" ht="15.75" customHeight="1">
      <c r="A21" s="1"/>
      <c r="B21" s="1"/>
      <c r="C21" s="6"/>
      <c r="D21" s="14"/>
      <c r="E21" s="14" t="s">
        <v>26</v>
      </c>
      <c r="F21" s="22">
        <v>81.563055555555565</v>
      </c>
      <c r="G21" s="22">
        <v>132.77667222222223</v>
      </c>
      <c r="H21" s="23">
        <v>32.956000000000003</v>
      </c>
      <c r="I21" s="15">
        <f t="shared" si="0"/>
        <v>-22.381820638226326</v>
      </c>
      <c r="J21" s="15">
        <f t="shared" si="1"/>
        <v>24.189916099860007</v>
      </c>
      <c r="K21" s="23">
        <f t="shared" ref="K21:L21" si="9">K20+I21</f>
        <v>100117.45386929234</v>
      </c>
      <c r="L21" s="23">
        <f t="shared" si="9"/>
        <v>101515.64168151058</v>
      </c>
      <c r="M21" s="130">
        <f t="shared" si="3"/>
        <v>-0.67914251238701073</v>
      </c>
      <c r="N21" s="130">
        <f t="shared" si="4"/>
        <v>0.73400643584961778</v>
      </c>
      <c r="O21" s="9"/>
      <c r="P21" s="25"/>
      <c r="Q21" s="7"/>
      <c r="R21" s="7"/>
      <c r="S21" s="7"/>
      <c r="T21" s="7"/>
    </row>
    <row r="22" spans="1:20" ht="15.75" customHeight="1">
      <c r="A22" s="1"/>
      <c r="B22" s="1"/>
      <c r="C22" s="6"/>
      <c r="D22" s="14"/>
      <c r="E22" s="14"/>
      <c r="F22" s="26"/>
      <c r="G22" s="27">
        <f>G16-G21</f>
        <v>1.1111111111006267E-3</v>
      </c>
      <c r="H22" s="15"/>
      <c r="I22" s="15"/>
      <c r="J22" s="15"/>
      <c r="K22" s="15"/>
      <c r="L22" s="15"/>
      <c r="M22" s="130"/>
      <c r="N22" s="28"/>
      <c r="O22" s="9"/>
      <c r="P22" s="6"/>
      <c r="Q22" s="7"/>
      <c r="R22" s="7"/>
      <c r="S22" s="7"/>
      <c r="T22" s="7"/>
    </row>
    <row r="23" spans="1:20" ht="15.75" customHeight="1">
      <c r="A23" s="1"/>
      <c r="B23" s="6"/>
      <c r="C23" s="6"/>
      <c r="D23" s="6"/>
      <c r="E23" s="29"/>
      <c r="F23" s="30"/>
      <c r="G23" s="18"/>
      <c r="H23" s="18"/>
      <c r="I23" s="18"/>
      <c r="J23" s="18"/>
      <c r="K23" s="18"/>
      <c r="L23" s="28"/>
      <c r="M23" s="28"/>
      <c r="N23" s="9"/>
      <c r="O23" s="6"/>
      <c r="P23" s="7"/>
      <c r="Q23" s="7"/>
      <c r="R23" s="7"/>
      <c r="S23" s="7"/>
    </row>
    <row r="24" spans="1:20" ht="15.75" customHeight="1">
      <c r="A24" s="1"/>
      <c r="B24" s="9"/>
      <c r="C24" s="6"/>
      <c r="D24" s="1"/>
      <c r="E24" s="31" t="s">
        <v>30</v>
      </c>
      <c r="F24" s="32">
        <f>SUM(F17:F21)</f>
        <v>539.99888888888893</v>
      </c>
      <c r="G24" s="33"/>
      <c r="H24" s="31" t="s">
        <v>31</v>
      </c>
      <c r="I24" s="34">
        <f>SUM(I17:I21)</f>
        <v>-7.1618128093255962E-3</v>
      </c>
      <c r="J24" s="34">
        <f>SUM(J17:J21)</f>
        <v>7.4654625113623752E-3</v>
      </c>
      <c r="K24" s="35"/>
      <c r="L24" s="6"/>
      <c r="M24" s="6"/>
      <c r="N24" s="6"/>
      <c r="O24" s="6"/>
      <c r="P24" s="7"/>
      <c r="Q24" s="7"/>
      <c r="R24" s="7"/>
      <c r="S24" s="7"/>
    </row>
    <row r="25" spans="1:20" ht="15.75" customHeight="1">
      <c r="A25" s="1"/>
      <c r="B25" s="6"/>
      <c r="C25" s="6"/>
      <c r="D25" s="1"/>
      <c r="E25" s="20" t="s">
        <v>32</v>
      </c>
      <c r="F25" s="36">
        <f>(5-2)*180</f>
        <v>540</v>
      </c>
      <c r="G25" s="33"/>
      <c r="H25" s="33"/>
      <c r="I25" s="33"/>
      <c r="J25" s="33"/>
      <c r="K25" s="18"/>
      <c r="L25" s="6"/>
      <c r="M25" s="6"/>
      <c r="N25" s="6"/>
      <c r="O25" s="6"/>
      <c r="P25" s="7"/>
      <c r="Q25" s="7"/>
      <c r="R25" s="37"/>
      <c r="S25" s="38"/>
    </row>
    <row r="26" spans="1:20" ht="15.75" customHeight="1">
      <c r="A26" s="1"/>
      <c r="B26" s="6"/>
      <c r="C26" s="6"/>
      <c r="D26" s="1"/>
      <c r="E26" s="39" t="s">
        <v>33</v>
      </c>
      <c r="F26" s="40">
        <f>F24-F25</f>
        <v>-1.1111111110722049E-3</v>
      </c>
      <c r="G26" s="31">
        <f>RADIANS(F26)</f>
        <v>-1.93925472437024E-5</v>
      </c>
      <c r="H26" s="41"/>
      <c r="I26" s="41"/>
      <c r="J26" s="33"/>
      <c r="K26" s="1"/>
      <c r="L26" s="6"/>
      <c r="M26" s="6"/>
      <c r="N26" s="6"/>
      <c r="O26" s="6"/>
      <c r="P26" s="7"/>
      <c r="Q26" s="42"/>
      <c r="R26" s="7"/>
      <c r="S26" s="7"/>
    </row>
    <row r="27" spans="1:20" ht="15.75" customHeight="1">
      <c r="A27" s="1"/>
      <c r="B27" s="1"/>
      <c r="C27" s="1"/>
      <c r="D27" s="1"/>
      <c r="E27" s="41"/>
      <c r="F27" s="43">
        <v>3</v>
      </c>
      <c r="G27" s="20" t="s">
        <v>34</v>
      </c>
      <c r="H27" s="96"/>
      <c r="I27" s="97">
        <f>INT(G22)</f>
        <v>0</v>
      </c>
      <c r="J27" s="96">
        <f>INT(((G22-I27)*60))</f>
        <v>0</v>
      </c>
      <c r="K27" s="96">
        <f>INT(((G22-I27)*60-J27)*60)</f>
        <v>3</v>
      </c>
      <c r="L27" s="1"/>
      <c r="M27" s="1"/>
      <c r="N27" s="6"/>
      <c r="O27" s="6"/>
      <c r="P27" s="7"/>
      <c r="Q27" s="7"/>
      <c r="R27" s="44"/>
      <c r="S27" s="38"/>
    </row>
    <row r="28" spans="1:20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6"/>
      <c r="O28" s="6"/>
      <c r="P28" s="7"/>
      <c r="Q28" s="7"/>
      <c r="R28" s="37"/>
      <c r="S28" s="7"/>
    </row>
    <row r="29" spans="1:20" ht="15.75" customHeight="1">
      <c r="A29" s="1"/>
      <c r="B29" s="103" t="s">
        <v>35</v>
      </c>
      <c r="C29" s="103"/>
      <c r="D29" s="103"/>
      <c r="E29" s="103"/>
      <c r="F29" s="103"/>
      <c r="G29" s="103"/>
      <c r="H29" s="104"/>
      <c r="I29" s="104"/>
      <c r="J29" s="104"/>
      <c r="K29" s="104"/>
      <c r="L29" s="104"/>
      <c r="M29" s="104"/>
      <c r="N29" s="104"/>
      <c r="O29" s="6"/>
      <c r="P29" s="7"/>
      <c r="Q29" s="44"/>
      <c r="R29" s="38"/>
    </row>
    <row r="30" spans="1:20" ht="15.75" customHeight="1">
      <c r="A30" s="1"/>
      <c r="B30" s="105" t="s">
        <v>36</v>
      </c>
      <c r="C30" s="106"/>
      <c r="D30" s="106"/>
      <c r="E30" s="106"/>
      <c r="F30" s="106"/>
      <c r="G30" s="106"/>
      <c r="H30" s="107"/>
      <c r="I30" s="105" t="s">
        <v>37</v>
      </c>
      <c r="J30" s="106"/>
      <c r="K30" s="106"/>
      <c r="L30" s="106"/>
      <c r="M30" s="106"/>
      <c r="N30" s="107"/>
      <c r="O30" s="6"/>
      <c r="P30" s="7"/>
      <c r="Q30" s="7"/>
      <c r="R30" s="45"/>
      <c r="S30" s="7"/>
      <c r="T30" s="7"/>
    </row>
    <row r="31" spans="1:20" ht="15.75" customHeight="1">
      <c r="A31" s="1"/>
      <c r="B31" s="46">
        <v>1</v>
      </c>
      <c r="C31" s="46">
        <v>1</v>
      </c>
      <c r="D31" s="46">
        <v>1</v>
      </c>
      <c r="E31" s="46">
        <v>1</v>
      </c>
      <c r="F31" s="46">
        <v>1</v>
      </c>
      <c r="G31" s="46">
        <v>1</v>
      </c>
      <c r="H31" s="46">
        <v>1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6"/>
      <c r="P31" s="7"/>
      <c r="Q31" s="7"/>
      <c r="R31" s="42"/>
      <c r="S31" s="7"/>
      <c r="T31" s="7"/>
    </row>
    <row r="32" spans="1:20" ht="15.75" customHeight="1">
      <c r="A32" s="1"/>
      <c r="B32" s="46">
        <f>SUM(J16:J21)*-1</f>
        <v>-24.197681510574107</v>
      </c>
      <c r="C32" s="46">
        <f>SUM(J17:J21)*-1</f>
        <v>-7.4654625113623752E-3</v>
      </c>
      <c r="D32" s="46">
        <f>SUM(J18:J21)*-1</f>
        <v>13.066768700896091</v>
      </c>
      <c r="E32" s="46">
        <f>+SUM(J19:J21)*-1</f>
        <v>66.14356207591581</v>
      </c>
      <c r="F32" s="46">
        <f>+SUM(J20:J21)*-1</f>
        <v>43.075902386144811</v>
      </c>
      <c r="G32" s="46">
        <f>SUM(J21)*-1</f>
        <v>-24.189916099860007</v>
      </c>
      <c r="H32" s="46">
        <v>0</v>
      </c>
      <c r="I32" s="47">
        <f>M16</f>
        <v>-0.67915674651379154</v>
      </c>
      <c r="J32" s="47">
        <f>+M17</f>
        <v>-0.31175547667422437</v>
      </c>
      <c r="K32" s="47">
        <f>+M18</f>
        <v>0.79289624658521418</v>
      </c>
      <c r="L32" s="47">
        <f>+M19</f>
        <v>0.45103937722026782</v>
      </c>
      <c r="M32" s="47">
        <f>+M20</f>
        <v>-0.62641857958737601</v>
      </c>
      <c r="N32" s="47">
        <f>+M21</f>
        <v>-0.67914251238701073</v>
      </c>
      <c r="O32" s="6"/>
      <c r="P32" s="7"/>
      <c r="Q32" s="7"/>
      <c r="R32" s="7"/>
      <c r="S32" s="7"/>
      <c r="T32" s="7"/>
    </row>
    <row r="33" spans="1:18" ht="15.75" customHeight="1">
      <c r="A33" s="1"/>
      <c r="B33" s="46">
        <f>SUM(I16:I21)</f>
        <v>-22.390130707664344</v>
      </c>
      <c r="C33" s="46">
        <f>SUM(I17:I21)</f>
        <v>-7.1618128093255962E-3</v>
      </c>
      <c r="D33" s="46">
        <f>+SUM(I18:I21)</f>
        <v>4.2825935462280036</v>
      </c>
      <c r="E33" s="46">
        <f>+SUM(I19:I21)</f>
        <v>-64.781048220083889</v>
      </c>
      <c r="F33" s="46">
        <f>SUM(I20:I21)</f>
        <v>-76.438611963718941</v>
      </c>
      <c r="G33" s="46">
        <f>I21</f>
        <v>-22.381820638226326</v>
      </c>
      <c r="H33" s="46">
        <v>0</v>
      </c>
      <c r="I33" s="47">
        <f>N16</f>
        <v>0.73399326540834242</v>
      </c>
      <c r="J33" s="47">
        <f>+N17</f>
        <v>0.95016236652670427</v>
      </c>
      <c r="K33" s="47">
        <f>+N18</f>
        <v>0.60935666251472076</v>
      </c>
      <c r="L33" s="47">
        <f>+N19</f>
        <v>-0.89250405052120241</v>
      </c>
      <c r="M33" s="47">
        <f>+N20</f>
        <v>-0.77948685886789282</v>
      </c>
      <c r="N33" s="47">
        <f>+N21</f>
        <v>0.73400643584961778</v>
      </c>
      <c r="O33" s="1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8" ht="15.75" customHeight="1">
      <c r="A35" s="1"/>
      <c r="B35" s="108" t="s">
        <v>38</v>
      </c>
      <c r="C35" s="109"/>
      <c r="D35" s="1"/>
      <c r="E35" s="108" t="s">
        <v>39</v>
      </c>
      <c r="F35" s="109"/>
      <c r="G35" s="1"/>
      <c r="H35" s="110" t="s">
        <v>40</v>
      </c>
      <c r="I35" s="109"/>
      <c r="J35" s="1"/>
      <c r="K35" s="1"/>
      <c r="L35" s="1"/>
      <c r="M35" s="1"/>
      <c r="N35" s="1"/>
      <c r="O35" s="1"/>
    </row>
    <row r="36" spans="1:18" ht="15.75" customHeight="1">
      <c r="A36" s="1"/>
      <c r="B36" s="46" t="s">
        <v>41</v>
      </c>
      <c r="C36" s="48">
        <f>360*60*60/(2*PI())</f>
        <v>206264.80624709636</v>
      </c>
      <c r="D36" s="1"/>
      <c r="E36" s="49" t="s">
        <v>42</v>
      </c>
      <c r="F36" s="48">
        <v>2</v>
      </c>
      <c r="G36" s="1"/>
      <c r="H36" s="46" t="s">
        <v>43</v>
      </c>
      <c r="I36" s="46">
        <f>G26*-1</f>
        <v>1.93925472437024E-5</v>
      </c>
      <c r="J36" s="1"/>
      <c r="K36" s="1"/>
      <c r="L36" s="1"/>
      <c r="M36" s="1"/>
      <c r="N36" s="1"/>
      <c r="O36" s="1"/>
    </row>
    <row r="37" spans="1:18" ht="15.75" customHeight="1">
      <c r="A37" s="1"/>
      <c r="B37" s="46" t="s">
        <v>44</v>
      </c>
      <c r="C37" s="46">
        <v>2</v>
      </c>
      <c r="D37" s="1"/>
      <c r="E37" s="49" t="s">
        <v>45</v>
      </c>
      <c r="F37" s="48">
        <v>1.0999999999999999E-2</v>
      </c>
      <c r="G37" s="1"/>
      <c r="H37" s="46" t="s">
        <v>46</v>
      </c>
      <c r="I37" s="46">
        <f>I24*-1</f>
        <v>7.1618128093255962E-3</v>
      </c>
      <c r="J37" s="1"/>
      <c r="K37" s="1"/>
      <c r="L37" s="1"/>
      <c r="M37" s="1"/>
      <c r="N37" s="1"/>
      <c r="O37" s="1"/>
    </row>
    <row r="38" spans="1:18" ht="15.75" customHeight="1">
      <c r="A38" s="1"/>
      <c r="B38" s="46" t="s">
        <v>47</v>
      </c>
      <c r="C38" s="50">
        <f>C36/C37</f>
        <v>103132.40312354818</v>
      </c>
      <c r="D38" s="1"/>
      <c r="E38" s="49" t="s">
        <v>48</v>
      </c>
      <c r="F38" s="51">
        <f>+SQRT(F36)/F37</f>
        <v>128.56486930664502</v>
      </c>
      <c r="G38" s="1"/>
      <c r="H38" s="46" t="s">
        <v>49</v>
      </c>
      <c r="I38" s="46">
        <f>J24*-1</f>
        <v>-7.4654625113623752E-3</v>
      </c>
      <c r="J38" s="1"/>
      <c r="K38" s="1"/>
      <c r="L38" s="1"/>
      <c r="M38" s="1"/>
      <c r="N38" s="1"/>
      <c r="O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8" ht="15.75" customHeight="1">
      <c r="A41" s="1"/>
      <c r="B41" s="100" t="s">
        <v>50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2"/>
      <c r="O41" s="1"/>
    </row>
    <row r="42" spans="1:18" ht="15.75" customHeight="1">
      <c r="A42" s="1"/>
      <c r="B42" s="111" t="s">
        <v>36</v>
      </c>
      <c r="C42" s="112"/>
      <c r="D42" s="112"/>
      <c r="E42" s="112"/>
      <c r="F42" s="112"/>
      <c r="G42" s="112"/>
      <c r="H42" s="113"/>
      <c r="I42" s="111" t="s">
        <v>37</v>
      </c>
      <c r="J42" s="112"/>
      <c r="K42" s="112"/>
      <c r="L42" s="112"/>
      <c r="M42" s="112"/>
      <c r="N42" s="113"/>
      <c r="O42" s="1"/>
    </row>
    <row r="43" spans="1:18" ht="15.75" customHeight="1">
      <c r="A43" s="1"/>
      <c r="B43" s="99">
        <f t="shared" ref="B43:H45" si="10">B31/$C$38</f>
        <v>9.6962736221907197E-6</v>
      </c>
      <c r="C43" s="52">
        <f t="shared" si="10"/>
        <v>9.6962736221907197E-6</v>
      </c>
      <c r="D43" s="52">
        <f t="shared" si="10"/>
        <v>9.6962736221907197E-6</v>
      </c>
      <c r="E43" s="52">
        <f t="shared" si="10"/>
        <v>9.6962736221907197E-6</v>
      </c>
      <c r="F43" s="52">
        <f t="shared" si="10"/>
        <v>9.6962736221907197E-6</v>
      </c>
      <c r="G43" s="52">
        <f t="shared" si="10"/>
        <v>9.6962736221907197E-6</v>
      </c>
      <c r="H43" s="52">
        <f t="shared" si="10"/>
        <v>9.6962736221907197E-6</v>
      </c>
      <c r="I43" s="46">
        <f t="shared" ref="I43:N45" si="11">I31/$F$38</f>
        <v>0</v>
      </c>
      <c r="J43" s="46">
        <f t="shared" si="11"/>
        <v>0</v>
      </c>
      <c r="K43" s="46">
        <f t="shared" si="11"/>
        <v>0</v>
      </c>
      <c r="L43" s="46">
        <f t="shared" si="11"/>
        <v>0</v>
      </c>
      <c r="M43" s="46">
        <f t="shared" si="11"/>
        <v>0</v>
      </c>
      <c r="N43" s="46">
        <f t="shared" si="11"/>
        <v>0</v>
      </c>
      <c r="O43" s="1"/>
    </row>
    <row r="44" spans="1:18" ht="15.75" customHeight="1">
      <c r="A44" s="1"/>
      <c r="B44" s="99">
        <f t="shared" si="10"/>
        <v>-2.3462734094915181E-4</v>
      </c>
      <c r="C44" s="52">
        <f t="shared" si="10"/>
        <v>-7.2387167226376684E-8</v>
      </c>
      <c r="D44" s="52">
        <f t="shared" si="10"/>
        <v>1.2669896468176607E-4</v>
      </c>
      <c r="E44" s="52">
        <f t="shared" si="10"/>
        <v>6.4134607623443694E-4</v>
      </c>
      <c r="F44" s="52">
        <f t="shared" si="10"/>
        <v>4.1767573605883823E-4</v>
      </c>
      <c r="G44" s="52">
        <f t="shared" si="10"/>
        <v>-2.3455204540207919E-4</v>
      </c>
      <c r="H44" s="53">
        <f t="shared" si="10"/>
        <v>0</v>
      </c>
      <c r="I44" s="46">
        <f t="shared" si="11"/>
        <v>-5.2825997504334452E-3</v>
      </c>
      <c r="J44" s="46">
        <f t="shared" si="11"/>
        <v>-2.4248885279122743E-3</v>
      </c>
      <c r="K44" s="54">
        <f t="shared" si="11"/>
        <v>6.1672854401154239E-3</v>
      </c>
      <c r="L44" s="46">
        <f t="shared" si="11"/>
        <v>3.5082630243606942E-3</v>
      </c>
      <c r="M44" s="46">
        <f t="shared" si="11"/>
        <v>-4.8723930803622638E-3</v>
      </c>
      <c r="N44" s="54">
        <f t="shared" si="11"/>
        <v>-5.2824890349101646E-3</v>
      </c>
      <c r="O44" s="1"/>
    </row>
    <row r="45" spans="1:18" ht="15.75" customHeight="1">
      <c r="A45" s="1"/>
      <c r="B45" s="99">
        <f t="shared" si="10"/>
        <v>-2.1710083377812821E-4</v>
      </c>
      <c r="C45" s="52">
        <f t="shared" si="10"/>
        <v>-6.9442896630131396E-8</v>
      </c>
      <c r="D45" s="52">
        <f t="shared" si="10"/>
        <v>4.1525198836854804E-5</v>
      </c>
      <c r="E45" s="52">
        <f t="shared" si="10"/>
        <v>-6.2813476907426448E-4</v>
      </c>
      <c r="F45" s="52">
        <f t="shared" si="10"/>
        <v>-7.4116969690067992E-4</v>
      </c>
      <c r="G45" s="52">
        <f t="shared" si="10"/>
        <v>-2.1702025707103778E-4</v>
      </c>
      <c r="H45" s="53">
        <f t="shared" si="10"/>
        <v>0</v>
      </c>
      <c r="I45" s="46">
        <f t="shared" si="11"/>
        <v>5.7091277684704587E-3</v>
      </c>
      <c r="J45" s="46">
        <f t="shared" si="11"/>
        <v>7.3905287785921937E-3</v>
      </c>
      <c r="K45" s="54">
        <f t="shared" si="11"/>
        <v>4.7396825104789762E-3</v>
      </c>
      <c r="L45" s="55">
        <f t="shared" si="11"/>
        <v>-6.9420523299600348E-3</v>
      </c>
      <c r="M45" s="46">
        <f t="shared" si="11"/>
        <v>-6.0629848812641706E-3</v>
      </c>
      <c r="N45" s="54">
        <f t="shared" si="11"/>
        <v>5.709230210462166E-3</v>
      </c>
      <c r="O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8" ht="15.75" customHeight="1">
      <c r="A47" s="1"/>
      <c r="B47" s="1"/>
      <c r="C47" s="114" t="s">
        <v>51</v>
      </c>
      <c r="D47" s="115"/>
      <c r="E47" s="109"/>
      <c r="F47" s="1"/>
      <c r="G47" s="114" t="s">
        <v>52</v>
      </c>
      <c r="H47" s="115"/>
      <c r="I47" s="109"/>
      <c r="J47" s="1"/>
      <c r="K47" s="56" t="s">
        <v>53</v>
      </c>
      <c r="L47" s="138" t="s">
        <v>54</v>
      </c>
      <c r="M47" s="132"/>
      <c r="N47" s="137" t="s">
        <v>55</v>
      </c>
      <c r="O47" s="132"/>
      <c r="P47" s="98">
        <f>SUM(N48:N54)</f>
        <v>1.1111111110722073E-3</v>
      </c>
      <c r="Q47" t="s">
        <v>61</v>
      </c>
    </row>
    <row r="48" spans="1:18" ht="15.75" customHeight="1">
      <c r="A48" s="1"/>
      <c r="B48" s="1"/>
      <c r="C48" s="52">
        <f t="array" ref="C48:E60">TRANSPOSE(B43:N45)</f>
        <v>9.6962736221907197E-6</v>
      </c>
      <c r="D48" s="52">
        <v>-2.3462734094915181E-4</v>
      </c>
      <c r="E48" s="52">
        <v>-2.1710083377812821E-4</v>
      </c>
      <c r="F48" s="1"/>
      <c r="G48" s="46">
        <f t="array" ref="G48:I50">MMULT(B43:N45,C48:E60)</f>
        <v>6.5812405509474079E-10</v>
      </c>
      <c r="H48" s="46">
        <v>6.947079499333346E-9</v>
      </c>
      <c r="I48" s="46">
        <v>-1.7084541303407059E-8</v>
      </c>
      <c r="J48" s="1"/>
      <c r="K48" s="46">
        <f t="array" ref="K48:K60">MMULT(C48:E60,H58:H60)</f>
        <v>0.27017458724998161</v>
      </c>
      <c r="L48" s="139">
        <f t="shared" ref="L48:L54" si="12">K48/$C$38</f>
        <v>2.619686723738262E-6</v>
      </c>
      <c r="M48" s="132"/>
      <c r="N48" s="135">
        <f t="shared" ref="N48:N54" si="13">DEGREES(L48)</f>
        <v>1.5009699291665645E-4</v>
      </c>
      <c r="O48" s="140"/>
      <c r="P48" s="57"/>
      <c r="Q48" s="58"/>
      <c r="R48" s="58"/>
    </row>
    <row r="49" spans="1:19" ht="15.75" customHeight="1">
      <c r="A49" s="1"/>
      <c r="B49" s="1"/>
      <c r="C49" s="52">
        <v>9.6962736221907197E-6</v>
      </c>
      <c r="D49" s="52">
        <v>-7.2387167226376684E-8</v>
      </c>
      <c r="E49" s="52">
        <v>-6.9442896630131396E-8</v>
      </c>
      <c r="F49" s="1"/>
      <c r="G49" s="46">
        <v>6.947079499333346E-9</v>
      </c>
      <c r="H49" s="46">
        <v>1.3648606347155248E-4</v>
      </c>
      <c r="I49" s="46">
        <v>-4.4426835169714363E-5</v>
      </c>
      <c r="J49" s="1"/>
      <c r="K49" s="46">
        <v>0.27567604907691678</v>
      </c>
      <c r="L49" s="139">
        <f t="shared" si="12"/>
        <v>2.6730304029342625E-6</v>
      </c>
      <c r="M49" s="132"/>
      <c r="N49" s="136">
        <f t="shared" si="13"/>
        <v>1.531533605982871E-4</v>
      </c>
      <c r="O49" s="132"/>
      <c r="P49" s="58"/>
      <c r="Q49" s="58"/>
      <c r="R49" s="58"/>
    </row>
    <row r="50" spans="1:19" ht="15.75" customHeight="1">
      <c r="A50" s="1"/>
      <c r="B50" s="1"/>
      <c r="C50" s="52">
        <v>9.6962736221907197E-6</v>
      </c>
      <c r="D50" s="52">
        <v>1.2669896468176607E-4</v>
      </c>
      <c r="E50" s="52">
        <v>4.1525198836854804E-5</v>
      </c>
      <c r="F50" s="1"/>
      <c r="G50" s="46">
        <v>-1.7084541303407059E-8</v>
      </c>
      <c r="H50" s="46">
        <v>-4.4426835169714363E-5</v>
      </c>
      <c r="I50" s="46">
        <v>2.2826567234114647E-4</v>
      </c>
      <c r="J50" s="1"/>
      <c r="K50" s="46">
        <v>0.28031820989738443</v>
      </c>
      <c r="L50" s="139">
        <f t="shared" si="12"/>
        <v>2.7180420644477299E-6</v>
      </c>
      <c r="M50" s="132"/>
      <c r="N50" s="135">
        <f t="shared" si="13"/>
        <v>1.5573233883188023E-4</v>
      </c>
      <c r="O50" s="132"/>
      <c r="P50" s="58"/>
      <c r="Q50" s="58"/>
      <c r="R50" s="58"/>
    </row>
    <row r="51" spans="1:19" ht="15.75" customHeight="1">
      <c r="A51" s="1"/>
      <c r="B51" s="1"/>
      <c r="C51" s="52">
        <v>9.6962736221907197E-6</v>
      </c>
      <c r="D51" s="52">
        <v>6.4134607623443694E-4</v>
      </c>
      <c r="E51" s="52">
        <v>-6.2813476907426448E-4</v>
      </c>
      <c r="F51" s="1"/>
      <c r="G51" s="1"/>
      <c r="H51" s="1"/>
      <c r="I51" s="1"/>
      <c r="J51" s="1"/>
      <c r="K51" s="46">
        <v>0.31764693407342964</v>
      </c>
      <c r="L51" s="139">
        <f t="shared" si="12"/>
        <v>3.0799915880259503E-6</v>
      </c>
      <c r="M51" s="132"/>
      <c r="N51" s="136">
        <f t="shared" si="13"/>
        <v>1.7647051892968313E-4</v>
      </c>
      <c r="O51" s="132"/>
      <c r="P51" s="58"/>
      <c r="Q51" s="58"/>
      <c r="R51" s="58"/>
    </row>
    <row r="52" spans="1:19" ht="15.75" customHeight="1">
      <c r="A52" s="1"/>
      <c r="B52" s="1"/>
      <c r="C52" s="52">
        <v>9.6962736221907197E-6</v>
      </c>
      <c r="D52" s="52">
        <v>4.1767573605883823E-4</v>
      </c>
      <c r="E52" s="52">
        <v>-7.4116969690067992E-4</v>
      </c>
      <c r="F52" s="1"/>
      <c r="G52" s="114" t="s">
        <v>56</v>
      </c>
      <c r="H52" s="115"/>
      <c r="I52" s="109"/>
      <c r="J52" s="1"/>
      <c r="K52" s="46">
        <v>0.31033041413818219</v>
      </c>
      <c r="L52" s="139">
        <f t="shared" si="12"/>
        <v>3.009048608771578E-6</v>
      </c>
      <c r="M52" s="132"/>
      <c r="N52" s="135">
        <f t="shared" si="13"/>
        <v>1.7240578563232345E-4</v>
      </c>
      <c r="O52" s="132"/>
      <c r="P52" s="58"/>
      <c r="Q52" s="58"/>
      <c r="R52" s="58"/>
    </row>
    <row r="53" spans="1:19" ht="15.75" customHeight="1">
      <c r="A53" s="1"/>
      <c r="B53" s="1"/>
      <c r="C53" s="52">
        <v>9.6962736221907197E-6</v>
      </c>
      <c r="D53" s="52">
        <v>-2.3455204540207919E-4</v>
      </c>
      <c r="E53" s="52">
        <v>-2.1702025707103778E-4</v>
      </c>
      <c r="F53" s="1"/>
      <c r="G53" s="53">
        <f t="array" ref="G53:I55">MINVERSE(G48:I50)</f>
        <v>1522666229.6958387</v>
      </c>
      <c r="H53" s="46">
        <v>-43140.282179972797</v>
      </c>
      <c r="I53" s="46">
        <v>105567.63809382924</v>
      </c>
      <c r="J53" s="1"/>
      <c r="K53" s="46">
        <v>0.27017611289158688</v>
      </c>
      <c r="L53" s="139">
        <f t="shared" si="12"/>
        <v>2.6197015167767157E-6</v>
      </c>
      <c r="M53" s="132"/>
      <c r="N53" s="134">
        <f t="shared" si="13"/>
        <v>1.5009784049532603E-4</v>
      </c>
      <c r="O53" s="132"/>
      <c r="P53" s="58"/>
      <c r="Q53" s="58"/>
      <c r="R53" s="58"/>
    </row>
    <row r="54" spans="1:19" ht="15.75" customHeight="1">
      <c r="A54" s="1"/>
      <c r="B54" s="1"/>
      <c r="C54" s="52">
        <v>9.6962736221907197E-6</v>
      </c>
      <c r="D54" s="53">
        <v>0</v>
      </c>
      <c r="E54" s="53">
        <v>0</v>
      </c>
      <c r="F54" s="1"/>
      <c r="G54" s="46">
        <v>-43140.282179970083</v>
      </c>
      <c r="H54" s="46">
        <v>7823.5387523767922</v>
      </c>
      <c r="I54" s="46">
        <v>1519.4489434426112</v>
      </c>
      <c r="J54" s="1"/>
      <c r="K54" s="46">
        <v>0.27567769260249159</v>
      </c>
      <c r="L54" s="139">
        <f t="shared" si="12"/>
        <v>2.6730463390079406E-6</v>
      </c>
      <c r="M54" s="132"/>
      <c r="N54" s="133">
        <f t="shared" si="13"/>
        <v>1.5315427366805086E-4</v>
      </c>
      <c r="O54" s="132"/>
      <c r="P54" s="58"/>
      <c r="Q54" s="58"/>
      <c r="R54" s="58"/>
    </row>
    <row r="55" spans="1:19" ht="15.75" customHeight="1">
      <c r="A55" s="1"/>
      <c r="B55" s="1"/>
      <c r="C55" s="46">
        <v>0</v>
      </c>
      <c r="D55" s="46">
        <v>-5.2825997504334452E-3</v>
      </c>
      <c r="E55" s="46">
        <v>5.7091277684704587E-3</v>
      </c>
      <c r="F55" s="1"/>
      <c r="G55" s="46">
        <v>105567.63809383975</v>
      </c>
      <c r="H55" s="46">
        <v>1519.4489434426105</v>
      </c>
      <c r="I55" s="46">
        <v>4684.4883484466382</v>
      </c>
      <c r="J55" s="1"/>
      <c r="K55" s="46">
        <v>-0.35749009620812555</v>
      </c>
      <c r="L55" s="132">
        <f t="shared" ref="L55:L60" si="14">K55/$F$38</f>
        <v>-2.780620383593765E-3</v>
      </c>
      <c r="M55" s="132"/>
      <c r="N55" s="60">
        <f t="shared" ref="N55:N60" si="15">L55</f>
        <v>-2.780620383593765E-3</v>
      </c>
      <c r="O55" s="132"/>
      <c r="P55" s="58">
        <f>ABS(N55)</f>
        <v>2.780620383593765E-3</v>
      </c>
      <c r="Q55" s="58"/>
      <c r="R55" s="58"/>
    </row>
    <row r="56" spans="1:19" ht="15.75" customHeight="1">
      <c r="A56" s="1"/>
      <c r="B56" s="1"/>
      <c r="C56" s="46">
        <v>0</v>
      </c>
      <c r="D56" s="46">
        <v>-2.4248885279122743E-3</v>
      </c>
      <c r="E56" s="46">
        <v>7.3905287785921937E-3</v>
      </c>
      <c r="F56" s="1"/>
      <c r="G56" s="1"/>
      <c r="H56" s="1"/>
      <c r="I56" s="1"/>
      <c r="J56" s="1"/>
      <c r="K56" s="46">
        <v>-0.26923988373337315</v>
      </c>
      <c r="L56" s="132">
        <f t="shared" si="14"/>
        <v>-2.0941948230912034E-3</v>
      </c>
      <c r="M56" s="132"/>
      <c r="N56" s="60">
        <f t="shared" si="15"/>
        <v>-2.0941948230912034E-3</v>
      </c>
      <c r="O56" s="132"/>
      <c r="P56" s="58">
        <f t="shared" ref="P56:P60" si="16">ABS(N56)</f>
        <v>2.0941948230912034E-3</v>
      </c>
      <c r="Q56" s="58"/>
      <c r="R56" s="58"/>
    </row>
    <row r="57" spans="1:19" ht="15.75" customHeight="1">
      <c r="A57" s="1"/>
      <c r="B57" s="1"/>
      <c r="C57" s="46">
        <v>0</v>
      </c>
      <c r="D57" s="54">
        <v>6.1672854401154239E-3</v>
      </c>
      <c r="E57" s="54">
        <v>4.7396825104789762E-3</v>
      </c>
      <c r="F57" s="1"/>
      <c r="G57" s="1"/>
      <c r="H57" s="56" t="s">
        <v>57</v>
      </c>
      <c r="I57" s="1"/>
      <c r="J57" s="1"/>
      <c r="K57" s="46">
        <v>0.16596486959162488</v>
      </c>
      <c r="L57" s="132">
        <f t="shared" si="14"/>
        <v>1.2909037319967687E-3</v>
      </c>
      <c r="M57" s="132"/>
      <c r="N57" s="60">
        <f t="shared" si="15"/>
        <v>1.2909037319967687E-3</v>
      </c>
      <c r="O57" s="132"/>
      <c r="P57" s="58">
        <f t="shared" si="16"/>
        <v>1.2909037319967687E-3</v>
      </c>
      <c r="Q57" s="58"/>
      <c r="R57" s="58"/>
    </row>
    <row r="58" spans="1:19" ht="15.75" customHeight="1">
      <c r="A58" s="1"/>
      <c r="B58" s="1"/>
      <c r="C58" s="46">
        <v>0</v>
      </c>
      <c r="D58" s="46">
        <v>3.5082630243606942E-3</v>
      </c>
      <c r="E58" s="55">
        <v>-6.9420523299600348E-3</v>
      </c>
      <c r="F58" s="1"/>
      <c r="G58" s="1"/>
      <c r="H58" s="50">
        <f t="array" ref="H58:H60">MMULT(G53:I55,I36:I38)</f>
        <v>28431.302925649758</v>
      </c>
      <c r="I58" s="1"/>
      <c r="J58" s="1"/>
      <c r="K58" s="46">
        <v>0.30686104337741338</v>
      </c>
      <c r="L58" s="132">
        <f t="shared" si="14"/>
        <v>2.386818771195631E-3</v>
      </c>
      <c r="M58" s="132"/>
      <c r="N58" s="60">
        <f t="shared" si="15"/>
        <v>2.386818771195631E-3</v>
      </c>
      <c r="O58" s="132"/>
      <c r="P58" s="58">
        <f t="shared" si="16"/>
        <v>2.386818771195631E-3</v>
      </c>
      <c r="Q58" s="58"/>
      <c r="R58" s="58"/>
    </row>
    <row r="59" spans="1:19" ht="15.75" customHeight="1">
      <c r="A59" s="1"/>
      <c r="B59" s="1"/>
      <c r="C59" s="46">
        <v>0</v>
      </c>
      <c r="D59" s="46">
        <v>-4.8723930803622638E-3</v>
      </c>
      <c r="E59" s="46">
        <v>-6.0629848812641706E-3</v>
      </c>
      <c r="F59" s="1"/>
      <c r="G59" s="1"/>
      <c r="H59" s="46">
        <v>43.850730965545594</v>
      </c>
      <c r="I59" s="1"/>
      <c r="J59" s="1"/>
      <c r="K59" s="46">
        <v>-8.0013818189548225E-2</v>
      </c>
      <c r="L59" s="132">
        <f t="shared" si="14"/>
        <v>-6.2236144773502775E-4</v>
      </c>
      <c r="M59" s="132"/>
      <c r="N59" s="60">
        <f t="shared" si="15"/>
        <v>-6.2236144773502775E-4</v>
      </c>
      <c r="O59" s="132"/>
      <c r="P59" s="58">
        <f t="shared" si="16"/>
        <v>6.2236144773502775E-4</v>
      </c>
      <c r="Q59" s="58"/>
      <c r="R59" s="58"/>
    </row>
    <row r="60" spans="1:19" ht="15.75" customHeight="1">
      <c r="A60" s="1"/>
      <c r="B60" s="1"/>
      <c r="C60" s="46">
        <v>0</v>
      </c>
      <c r="D60" s="54">
        <v>-5.2824890349101646E-3</v>
      </c>
      <c r="E60" s="54">
        <v>5.709230210462166E-3</v>
      </c>
      <c r="F60" s="1"/>
      <c r="G60" s="1"/>
      <c r="H60" s="46">
        <v>-22.042637834837834</v>
      </c>
      <c r="I60" s="1"/>
      <c r="J60" s="1"/>
      <c r="K60" s="46">
        <v>-0.35748749934322277</v>
      </c>
      <c r="L60" s="132">
        <f t="shared" si="14"/>
        <v>-2.7806001847251564E-3</v>
      </c>
      <c r="M60" s="132"/>
      <c r="N60" s="60">
        <f t="shared" si="15"/>
        <v>-2.7806001847251564E-3</v>
      </c>
      <c r="O60" s="132"/>
      <c r="P60" s="58">
        <f t="shared" si="16"/>
        <v>2.7806001847251564E-3</v>
      </c>
      <c r="Q60" s="58"/>
      <c r="R60" s="58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32"/>
      <c r="P61" s="91">
        <f>SUM(P55:P60)</f>
        <v>1.1955499342337552E-2</v>
      </c>
    </row>
    <row r="62" spans="1:19" ht="15.75" customHeight="1">
      <c r="A62" s="1"/>
      <c r="B62" s="1"/>
      <c r="C62" s="61" t="s">
        <v>13</v>
      </c>
      <c r="D62" s="62" t="s">
        <v>14</v>
      </c>
      <c r="E62" s="63" t="s">
        <v>15</v>
      </c>
      <c r="F62" s="63" t="s">
        <v>16</v>
      </c>
      <c r="G62" s="63" t="s">
        <v>58</v>
      </c>
      <c r="H62" s="63" t="s">
        <v>17</v>
      </c>
      <c r="I62" s="63" t="s">
        <v>59</v>
      </c>
      <c r="J62" s="63" t="s">
        <v>60</v>
      </c>
      <c r="K62" s="63" t="s">
        <v>18</v>
      </c>
      <c r="L62" s="63" t="s">
        <v>19</v>
      </c>
      <c r="M62" s="63" t="s">
        <v>20</v>
      </c>
      <c r="N62" s="64" t="s">
        <v>21</v>
      </c>
      <c r="O62" s="12" t="s">
        <v>22</v>
      </c>
      <c r="P62" s="65" t="s">
        <v>23</v>
      </c>
      <c r="Q62" s="66"/>
      <c r="R62" s="66"/>
      <c r="S62" s="66"/>
    </row>
    <row r="63" spans="1:19" ht="15.75" customHeight="1">
      <c r="A63" s="59"/>
      <c r="B63" s="59"/>
      <c r="C63" s="67"/>
      <c r="D63" s="14" t="s">
        <v>24</v>
      </c>
      <c r="E63" s="15"/>
      <c r="F63" s="90">
        <f>G14</f>
        <v>35.002227777777776</v>
      </c>
      <c r="G63" s="14"/>
      <c r="H63" s="14"/>
      <c r="I63" s="14"/>
      <c r="J63" s="14"/>
      <c r="K63" s="14"/>
      <c r="L63" s="14"/>
      <c r="M63" s="15"/>
      <c r="N63" s="68"/>
      <c r="O63" s="17"/>
      <c r="P63" s="69"/>
      <c r="Q63" s="42"/>
      <c r="R63" s="7"/>
      <c r="S63" s="7"/>
    </row>
    <row r="64" spans="1:19" ht="15.75" customHeight="1">
      <c r="A64" s="131">
        <f t="shared" ref="A64:A70" si="17">N48</f>
        <v>1.5009699291665645E-4</v>
      </c>
      <c r="B64" s="131">
        <f>A64</f>
        <v>1.5009699291665645E-4</v>
      </c>
      <c r="C64" s="67" t="s">
        <v>25</v>
      </c>
      <c r="D64" s="14"/>
      <c r="E64" s="15"/>
      <c r="F64" s="88"/>
      <c r="G64" s="15"/>
      <c r="H64" s="15"/>
      <c r="I64" s="15"/>
      <c r="J64" s="15"/>
      <c r="K64" s="14"/>
      <c r="L64" s="14"/>
      <c r="M64" s="20">
        <v>100139.844</v>
      </c>
      <c r="N64" s="20">
        <v>101491.444</v>
      </c>
      <c r="O64" s="17"/>
      <c r="P64" s="69"/>
      <c r="Q64" s="66"/>
      <c r="R64" s="7"/>
      <c r="S64" s="7"/>
    </row>
    <row r="65" spans="1:19" ht="15.75" customHeight="1">
      <c r="A65" s="131">
        <f t="shared" si="17"/>
        <v>1.531533605982871E-4</v>
      </c>
      <c r="B65" s="131">
        <f t="shared" ref="B65:B70" si="18">B64+A65</f>
        <v>3.0325035351494358E-4</v>
      </c>
      <c r="C65" s="67" t="s">
        <v>26</v>
      </c>
      <c r="D65" s="70"/>
      <c r="E65" s="22">
        <f>F16</f>
        <v>97.775555555555556</v>
      </c>
      <c r="F65" s="89">
        <f t="shared" ref="F65:F70" si="19">G16</f>
        <v>132.77778333333333</v>
      </c>
      <c r="G65" s="92">
        <f t="shared" ref="G65:G70" si="20">F65+B64</f>
        <v>132.77793343032624</v>
      </c>
      <c r="H65" s="23">
        <v>32.956000000000003</v>
      </c>
      <c r="I65" s="71">
        <f t="shared" ref="I65:I70" si="21">N55</f>
        <v>-2.780620383593765E-3</v>
      </c>
      <c r="J65" s="23">
        <f t="shared" ref="J65:J70" si="22">H65+I65</f>
        <v>32.953219379616407</v>
      </c>
      <c r="K65" s="15">
        <f t="shared" ref="K65:K70" si="23">O65*J65</f>
        <v>-22.380464624457041</v>
      </c>
      <c r="L65" s="15">
        <f t="shared" ref="L65:L70" si="24">P65*J65</f>
        <v>24.187382468439061</v>
      </c>
      <c r="M65" s="23">
        <f t="shared" ref="M65:N65" si="25">M64+K65</f>
        <v>100117.46353537554</v>
      </c>
      <c r="N65" s="23">
        <f t="shared" si="25"/>
        <v>101515.63138246845</v>
      </c>
      <c r="O65" s="24">
        <f t="shared" ref="O65:O71" si="26">COS(RADIANS(G65))</f>
        <v>-0.67915866934387403</v>
      </c>
      <c r="P65" s="72">
        <f t="shared" ref="P65:P71" si="27">SIN(RADIANS(G65))</f>
        <v>0.73399148622791144</v>
      </c>
      <c r="Q65" s="42"/>
      <c r="R65" s="73"/>
      <c r="S65" s="73"/>
    </row>
    <row r="66" spans="1:19" ht="15.75" customHeight="1">
      <c r="A66" s="131">
        <f t="shared" si="17"/>
        <v>1.5573233883188023E-4</v>
      </c>
      <c r="B66" s="131">
        <f t="shared" si="18"/>
        <v>4.5898269234682378E-4</v>
      </c>
      <c r="C66" s="67" t="s">
        <v>27</v>
      </c>
      <c r="D66" s="70"/>
      <c r="E66" s="22">
        <f t="shared" ref="E66:E70" si="28">F17</f>
        <v>155.3869444444444</v>
      </c>
      <c r="F66" s="89">
        <f t="shared" si="19"/>
        <v>108.16505555560001</v>
      </c>
      <c r="G66" s="92">
        <f t="shared" si="20"/>
        <v>108.16535880595352</v>
      </c>
      <c r="H66" s="23">
        <v>13.76</v>
      </c>
      <c r="I66" s="71">
        <f t="shared" si="21"/>
        <v>-2.0941948230912034E-3</v>
      </c>
      <c r="J66" s="23">
        <f t="shared" si="22"/>
        <v>13.757905805176909</v>
      </c>
      <c r="K66" s="15">
        <f t="shared" si="23"/>
        <v>-4.289171669963423</v>
      </c>
      <c r="L66" s="15">
        <f t="shared" si="24"/>
        <v>13.072221637109115</v>
      </c>
      <c r="M66" s="23">
        <f t="shared" ref="M66:N66" si="29">M65+K66</f>
        <v>100113.17436370558</v>
      </c>
      <c r="N66" s="23">
        <f t="shared" si="29"/>
        <v>101528.70360410555</v>
      </c>
      <c r="O66" s="24">
        <f t="shared" si="26"/>
        <v>-0.31176050561048813</v>
      </c>
      <c r="P66" s="72">
        <f t="shared" si="27"/>
        <v>0.95016071647984524</v>
      </c>
      <c r="Q66" s="42"/>
      <c r="R66" s="73"/>
      <c r="S66" s="73"/>
    </row>
    <row r="67" spans="1:19" ht="15.75" customHeight="1">
      <c r="A67" s="131">
        <f t="shared" si="17"/>
        <v>1.7647051892968313E-4</v>
      </c>
      <c r="B67" s="131">
        <f t="shared" si="18"/>
        <v>6.3545321127650694E-4</v>
      </c>
      <c r="C67" s="67" t="s">
        <v>28</v>
      </c>
      <c r="D67" s="70"/>
      <c r="E67" s="22">
        <f t="shared" si="28"/>
        <v>109.37777777777779</v>
      </c>
      <c r="F67" s="89">
        <f t="shared" si="19"/>
        <v>37.542999999999999</v>
      </c>
      <c r="G67" s="92">
        <f t="shared" si="20"/>
        <v>37.543458982692343</v>
      </c>
      <c r="H67" s="23">
        <v>87.102999999999994</v>
      </c>
      <c r="I67" s="71">
        <f t="shared" si="21"/>
        <v>1.2909037319967687E-3</v>
      </c>
      <c r="J67" s="23">
        <f t="shared" si="22"/>
        <v>87.104290903731993</v>
      </c>
      <c r="K67" s="15">
        <f t="shared" si="23"/>
        <v>69.064240125107901</v>
      </c>
      <c r="L67" s="15">
        <f t="shared" si="24"/>
        <v>53.078133254508899</v>
      </c>
      <c r="M67" s="23">
        <f t="shared" ref="M67:N67" si="30">M66+K67</f>
        <v>100182.23860383069</v>
      </c>
      <c r="N67" s="23">
        <f t="shared" si="30"/>
        <v>101581.78173736007</v>
      </c>
      <c r="O67" s="24">
        <f t="shared" si="26"/>
        <v>0.79289136515028835</v>
      </c>
      <c r="P67" s="72">
        <f t="shared" si="27"/>
        <v>0.60936301419606365</v>
      </c>
      <c r="Q67" s="42"/>
      <c r="R67" s="73"/>
      <c r="S67" s="73"/>
    </row>
    <row r="68" spans="1:19" ht="15.75" customHeight="1">
      <c r="A68" s="131">
        <f t="shared" si="17"/>
        <v>1.7240578563232345E-4</v>
      </c>
      <c r="B68" s="131">
        <f t="shared" si="18"/>
        <v>8.0785899690883039E-4</v>
      </c>
      <c r="C68" s="67" t="s">
        <v>29</v>
      </c>
      <c r="D68" s="70"/>
      <c r="E68" s="22">
        <f t="shared" si="28"/>
        <v>79.267222222222216</v>
      </c>
      <c r="F68" s="89">
        <f t="shared" si="19"/>
        <v>296.81038888889998</v>
      </c>
      <c r="G68" s="92">
        <f t="shared" si="20"/>
        <v>296.81102434211124</v>
      </c>
      <c r="H68" s="23">
        <v>25.846</v>
      </c>
      <c r="I68" s="71">
        <f t="shared" si="21"/>
        <v>2.386818771195631E-3</v>
      </c>
      <c r="J68" s="23">
        <f t="shared" si="22"/>
        <v>25.848386818771196</v>
      </c>
      <c r="K68" s="15">
        <f t="shared" si="23"/>
        <v>11.658896153460798</v>
      </c>
      <c r="L68" s="15">
        <f t="shared" si="24"/>
        <v>-23.069660630699392</v>
      </c>
      <c r="M68" s="23">
        <f t="shared" ref="M68:N68" si="31">M67+K68</f>
        <v>100193.89749998414</v>
      </c>
      <c r="N68" s="23">
        <f t="shared" si="31"/>
        <v>101558.71207672937</v>
      </c>
      <c r="O68" s="24">
        <f t="shared" si="26"/>
        <v>0.45104927573252129</v>
      </c>
      <c r="P68" s="72">
        <f t="shared" si="27"/>
        <v>-0.89249904810098701</v>
      </c>
      <c r="Q68" s="42"/>
      <c r="R68" s="73"/>
      <c r="S68" s="73"/>
    </row>
    <row r="69" spans="1:19" ht="15.75" customHeight="1">
      <c r="A69" s="131">
        <f t="shared" si="17"/>
        <v>1.5009784049532603E-4</v>
      </c>
      <c r="B69" s="131">
        <f t="shared" si="18"/>
        <v>9.5795683740415648E-4</v>
      </c>
      <c r="C69" s="67" t="s">
        <v>25</v>
      </c>
      <c r="D69" s="70"/>
      <c r="E69" s="22">
        <f t="shared" si="28"/>
        <v>114.40388888888889</v>
      </c>
      <c r="F69" s="89">
        <f t="shared" si="19"/>
        <v>231.21361666666667</v>
      </c>
      <c r="G69" s="92">
        <f t="shared" si="20"/>
        <v>231.21442452566359</v>
      </c>
      <c r="H69" s="23">
        <v>86.295000000000002</v>
      </c>
      <c r="I69" s="71">
        <f t="shared" si="21"/>
        <v>-6.2236144773502775E-4</v>
      </c>
      <c r="J69" s="23">
        <f t="shared" si="22"/>
        <v>86.294377638552263</v>
      </c>
      <c r="K69" s="15">
        <f t="shared" si="23"/>
        <v>-54.055453033639019</v>
      </c>
      <c r="L69" s="15">
        <f t="shared" si="24"/>
        <v>-67.26609554116483</v>
      </c>
      <c r="M69" s="23">
        <f t="shared" ref="M69:N69" si="32">M68+K69</f>
        <v>100139.84204695051</v>
      </c>
      <c r="N69" s="23">
        <f t="shared" si="32"/>
        <v>101491.4459811882</v>
      </c>
      <c r="O69" s="24">
        <f t="shared" si="26"/>
        <v>-0.62640758891677306</v>
      </c>
      <c r="P69" s="72">
        <f t="shared" si="27"/>
        <v>-0.77949569116671524</v>
      </c>
      <c r="Q69" s="42"/>
      <c r="R69" s="73"/>
      <c r="S69" s="73"/>
    </row>
    <row r="70" spans="1:19" ht="15.75" customHeight="1">
      <c r="A70" s="131">
        <f t="shared" si="17"/>
        <v>1.5315427366805086E-4</v>
      </c>
      <c r="B70" s="131">
        <f t="shared" si="18"/>
        <v>1.1111111110722073E-3</v>
      </c>
      <c r="C70" s="67"/>
      <c r="D70" s="70" t="s">
        <v>26</v>
      </c>
      <c r="E70" s="22">
        <f t="shared" si="28"/>
        <v>81.563055555555565</v>
      </c>
      <c r="F70" s="89">
        <f t="shared" si="19"/>
        <v>132.77667222222223</v>
      </c>
      <c r="G70" s="92">
        <f t="shared" si="20"/>
        <v>132.77763017905963</v>
      </c>
      <c r="H70" s="23">
        <v>32.956000000000003</v>
      </c>
      <c r="I70" s="71">
        <f t="shared" si="21"/>
        <v>-2.7806001847251564E-3</v>
      </c>
      <c r="J70" s="23">
        <f t="shared" si="22"/>
        <v>32.953219399815275</v>
      </c>
      <c r="K70" s="15">
        <f t="shared" si="23"/>
        <v>-22.38033662050282</v>
      </c>
      <c r="L70" s="15">
        <f t="shared" si="24"/>
        <v>24.187500936751242</v>
      </c>
      <c r="M70" s="23">
        <f t="shared" ref="M70:N70" si="33">M69+K70</f>
        <v>100117.46171033001</v>
      </c>
      <c r="N70" s="23">
        <f t="shared" si="33"/>
        <v>101515.63348212495</v>
      </c>
      <c r="O70" s="24">
        <f t="shared" si="26"/>
        <v>-0.67915478451335398</v>
      </c>
      <c r="P70" s="72">
        <f t="shared" si="27"/>
        <v>0.73399508082317533</v>
      </c>
      <c r="Q70" s="42"/>
      <c r="R70" s="73"/>
      <c r="S70" s="73"/>
    </row>
    <row r="71" spans="1:19" ht="15.75" customHeight="1" thickBot="1">
      <c r="A71" s="132"/>
      <c r="B71" s="132"/>
      <c r="C71" s="74"/>
      <c r="D71" s="75"/>
      <c r="E71" s="76"/>
      <c r="F71" s="77"/>
      <c r="G71" s="93"/>
      <c r="H71" s="78"/>
      <c r="I71" s="78"/>
      <c r="J71" s="78"/>
      <c r="K71" s="78"/>
      <c r="L71" s="78"/>
      <c r="M71" s="78"/>
      <c r="N71" s="79"/>
      <c r="O71" s="24">
        <f t="shared" si="26"/>
        <v>1</v>
      </c>
      <c r="P71" s="72">
        <f t="shared" si="27"/>
        <v>0</v>
      </c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9" ht="15.75" customHeight="1">
      <c r="A73" s="1"/>
      <c r="B73" s="1"/>
      <c r="C73" s="1"/>
      <c r="D73" s="1"/>
      <c r="E73" s="94">
        <f>E65+A64</f>
        <v>97.775705652548467</v>
      </c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9" ht="15.75" customHeight="1">
      <c r="C74" s="80"/>
      <c r="D74" s="80"/>
      <c r="E74" s="94">
        <f t="shared" ref="E74:E78" si="34">E66+A65</f>
        <v>155.387097597805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58"/>
    </row>
    <row r="75" spans="1:19" ht="15.75" customHeight="1">
      <c r="C75" s="7"/>
      <c r="D75" s="7"/>
      <c r="E75" s="94">
        <f t="shared" si="34"/>
        <v>109.37793351011662</v>
      </c>
      <c r="F75" s="58"/>
      <c r="G75" s="81"/>
      <c r="H75" s="7"/>
      <c r="I75" s="7"/>
      <c r="J75" s="7"/>
      <c r="K75" s="7"/>
      <c r="L75" s="7"/>
      <c r="M75" s="42"/>
      <c r="N75" s="42"/>
      <c r="O75" s="7"/>
      <c r="P75" s="7"/>
      <c r="Q75" s="58"/>
    </row>
    <row r="76" spans="1:19" ht="15.75" customHeight="1">
      <c r="B76" s="57"/>
      <c r="C76" s="7"/>
      <c r="D76" s="7"/>
      <c r="E76" s="94">
        <f t="shared" si="34"/>
        <v>79.267398692741139</v>
      </c>
      <c r="F76" s="58"/>
      <c r="G76" s="42"/>
      <c r="H76" s="42"/>
      <c r="I76" s="42"/>
      <c r="J76" s="42"/>
      <c r="K76" s="7"/>
      <c r="L76" s="7"/>
      <c r="M76" s="82"/>
      <c r="N76" s="82"/>
      <c r="O76" s="7"/>
      <c r="P76" s="7"/>
      <c r="Q76" s="58"/>
    </row>
    <row r="77" spans="1:19" ht="15.75" customHeight="1">
      <c r="B77" s="57"/>
      <c r="C77" s="7"/>
      <c r="D77" s="7"/>
      <c r="E77" s="94">
        <f t="shared" si="34"/>
        <v>114.40406129467452</v>
      </c>
      <c r="F77" s="84"/>
      <c r="G77" s="83"/>
      <c r="H77" s="13"/>
      <c r="I77" s="85"/>
      <c r="J77" s="13"/>
      <c r="K77" s="42"/>
      <c r="L77" s="42"/>
      <c r="M77" s="13"/>
      <c r="N77" s="13"/>
      <c r="O77" s="73"/>
      <c r="P77" s="73"/>
      <c r="Q77" s="58"/>
    </row>
    <row r="78" spans="1:19" ht="15.75" customHeight="1">
      <c r="B78" s="57"/>
      <c r="C78" s="7"/>
      <c r="D78" s="7"/>
      <c r="E78" s="94">
        <f t="shared" si="34"/>
        <v>81.563205653396054</v>
      </c>
      <c r="F78" s="84"/>
      <c r="G78" s="83"/>
      <c r="H78" s="13"/>
      <c r="I78" s="85"/>
      <c r="J78" s="13"/>
      <c r="K78" s="42"/>
      <c r="L78" s="42"/>
      <c r="M78" s="13"/>
      <c r="N78" s="13"/>
      <c r="O78" s="73"/>
      <c r="P78" s="73"/>
      <c r="Q78" s="58"/>
    </row>
    <row r="79" spans="1:19" ht="15.75" customHeight="1">
      <c r="B79" s="57"/>
      <c r="C79" s="7"/>
      <c r="D79" s="7"/>
      <c r="E79" s="94"/>
      <c r="F79" s="84"/>
      <c r="G79" s="83"/>
      <c r="H79" s="13"/>
      <c r="I79" s="85"/>
      <c r="J79" s="13"/>
      <c r="K79" s="42"/>
      <c r="L79" s="42"/>
      <c r="M79" s="13"/>
      <c r="N79" s="13"/>
      <c r="O79" s="73"/>
      <c r="P79" s="73"/>
      <c r="Q79" s="58"/>
    </row>
    <row r="80" spans="1:19" ht="15.75" customHeight="1">
      <c r="B80" s="57"/>
      <c r="C80" s="7"/>
      <c r="D80" s="7"/>
      <c r="E80" s="95">
        <f>SUM(E74:E78)</f>
        <v>539.99969674873341</v>
      </c>
      <c r="F80" s="84"/>
      <c r="G80" s="83"/>
      <c r="H80" s="13"/>
      <c r="I80" s="85"/>
      <c r="J80" s="13"/>
      <c r="K80" s="42"/>
      <c r="L80" s="42"/>
      <c r="M80" s="13"/>
      <c r="N80" s="13"/>
      <c r="O80" s="73"/>
      <c r="P80" s="73"/>
      <c r="Q80" s="58"/>
    </row>
    <row r="81" spans="2:17" ht="15.75" customHeight="1">
      <c r="B81" s="57"/>
      <c r="C81" s="7"/>
      <c r="D81" s="7"/>
      <c r="E81" s="94"/>
      <c r="F81" s="84"/>
      <c r="G81" s="83"/>
      <c r="H81" s="13"/>
      <c r="I81" s="85"/>
      <c r="J81" s="13"/>
      <c r="K81" s="42"/>
      <c r="L81" s="42"/>
      <c r="M81" s="13"/>
      <c r="N81" s="13"/>
      <c r="O81" s="73"/>
      <c r="P81" s="73"/>
      <c r="Q81" s="58"/>
    </row>
    <row r="82" spans="2:17" ht="15.75" customHeight="1">
      <c r="B82" s="57"/>
      <c r="C82" s="7"/>
      <c r="D82" s="7"/>
      <c r="E82" s="94"/>
      <c r="F82" s="84"/>
      <c r="G82" s="83"/>
      <c r="H82" s="13"/>
      <c r="I82" s="85"/>
      <c r="J82" s="13"/>
      <c r="K82" s="42"/>
      <c r="L82" s="42"/>
      <c r="M82" s="13"/>
      <c r="N82" s="13"/>
      <c r="O82" s="73"/>
      <c r="P82" s="73"/>
      <c r="Q82" s="58"/>
    </row>
    <row r="83" spans="2:17" ht="15.75" customHeight="1">
      <c r="C83" s="7"/>
      <c r="D83" s="7"/>
      <c r="E83" s="86"/>
      <c r="F83" s="84"/>
      <c r="G83" s="87"/>
      <c r="H83" s="42"/>
      <c r="I83" s="42"/>
      <c r="J83" s="42"/>
      <c r="K83" s="42"/>
      <c r="L83" s="42"/>
      <c r="M83" s="42"/>
      <c r="N83" s="42"/>
      <c r="O83" s="73"/>
      <c r="P83" s="73"/>
      <c r="Q83" s="58"/>
    </row>
    <row r="84" spans="2:17" ht="15.75" customHeight="1"/>
    <row r="85" spans="2:17" ht="15.75" customHeight="1"/>
    <row r="86" spans="2:17" ht="15.75" customHeight="1"/>
    <row r="87" spans="2:17" ht="15.75" customHeight="1"/>
    <row r="88" spans="2:17" ht="15.75" customHeight="1"/>
    <row r="89" spans="2:17" ht="15.75" customHeight="1"/>
    <row r="90" spans="2:17" ht="15.75" customHeight="1"/>
    <row r="91" spans="2:17" ht="15.75" customHeight="1"/>
    <row r="92" spans="2:17" ht="15.75" customHeight="1"/>
    <row r="93" spans="2:17" ht="15.75" customHeight="1"/>
    <row r="94" spans="2:17" ht="15.75" customHeight="1"/>
    <row r="95" spans="2:17" ht="15.75" customHeight="1"/>
    <row r="96" spans="2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6">
    <mergeCell ref="F2:L3"/>
    <mergeCell ref="F5:G6"/>
    <mergeCell ref="H5:L6"/>
    <mergeCell ref="F7:G7"/>
    <mergeCell ref="H7:L7"/>
    <mergeCell ref="F8:G8"/>
    <mergeCell ref="H8:L8"/>
    <mergeCell ref="D10:D11"/>
    <mergeCell ref="E10:F10"/>
    <mergeCell ref="I10:I11"/>
    <mergeCell ref="J10:J11"/>
    <mergeCell ref="K10:K11"/>
    <mergeCell ref="L10:L11"/>
    <mergeCell ref="E11:F11"/>
    <mergeCell ref="B42:H42"/>
    <mergeCell ref="I42:N42"/>
    <mergeCell ref="C47:E47"/>
    <mergeCell ref="G47:I47"/>
    <mergeCell ref="G52:I52"/>
    <mergeCell ref="B41:N41"/>
    <mergeCell ref="B29:N29"/>
    <mergeCell ref="B30:H30"/>
    <mergeCell ref="I30:N30"/>
    <mergeCell ref="B35:C35"/>
    <mergeCell ref="E35:F35"/>
    <mergeCell ref="H35:I35"/>
  </mergeCell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POLIGONAL MINIMOS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OSORIO</dc:creator>
  <cp:lastModifiedBy>USER</cp:lastModifiedBy>
  <dcterms:created xsi:type="dcterms:W3CDTF">2021-11-30T16:06:50Z</dcterms:created>
  <dcterms:modified xsi:type="dcterms:W3CDTF">2026-09-14T14:23:21Z</dcterms:modified>
</cp:coreProperties>
</file>