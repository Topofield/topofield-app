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rrada" state="visible" r:id="rId4"/>
    <sheet sheetId="2" name="Abierta con control" state="visible" r:id="rId5"/>
    <sheet sheetId="3" name="Abierta sin control" state="visible" r:id="rId6"/>
  </sheets>
  <calcPr calcId="171027"/>
</workbook>
</file>

<file path=xl/sharedStrings.xml><?xml version="1.0" encoding="utf-8"?>
<sst xmlns="http://schemas.openxmlformats.org/spreadsheetml/2006/main" count="179" uniqueCount="85">
  <si>
    <t>Poligonal cerrada — Caso 1 del marco teórico (pentágono de 5 vértices)</t>
  </si>
  <si>
    <t>Punto de partida y orden</t>
  </si>
  <si>
    <t>Código</t>
  </si>
  <si>
    <t>Norte</t>
  </si>
  <si>
    <t>Este</t>
  </si>
  <si>
    <t>Az°</t>
  </si>
  <si>
    <t>Az'</t>
  </si>
  <si>
    <t>Az"</t>
  </si>
  <si>
    <t>Az dec</t>
  </si>
  <si>
    <t>Orden</t>
  </si>
  <si>
    <t>K (″)</t>
  </si>
  <si>
    <t>1:X mín.</t>
  </si>
  <si>
    <t>A</t>
  </si>
  <si>
    <t>tercer_orden</t>
  </si>
  <si>
    <t>Estaciones (campo) y cálculo base</t>
  </si>
  <si>
    <t>Est</t>
  </si>
  <si>
    <t>α°</t>
  </si>
  <si>
    <t>α'</t>
  </si>
  <si>
    <t>α"</t>
  </si>
  <si>
    <t>α dec</t>
  </si>
  <si>
    <t>α corr</t>
  </si>
  <si>
    <t>d (m)</t>
  </si>
  <si>
    <t>Az° dec</t>
  </si>
  <si>
    <t>ΔN</t>
  </si>
  <si>
    <t>ΔE</t>
  </si>
  <si>
    <t>B</t>
  </si>
  <si>
    <t>C</t>
  </si>
  <si>
    <t>D</t>
  </si>
  <si>
    <t>E</t>
  </si>
  <si>
    <t>Σ</t>
  </si>
  <si>
    <t>Verificación angular</t>
  </si>
  <si>
    <t>Corr. por ángulo (deg)</t>
  </si>
  <si>
    <t>Σ medida</t>
  </si>
  <si>
    <t>Teórica</t>
  </si>
  <si>
    <t>Error angular (″)</t>
  </si>
  <si>
    <t>Tolerancia (″)</t>
  </si>
  <si>
    <t>¿cumple?</t>
  </si>
  <si>
    <t>Cierre lineal</t>
  </si>
  <si>
    <t>Error_N</t>
  </si>
  <si>
    <t>Error_E</t>
  </si>
  <si>
    <t>Error lineal</t>
  </si>
  <si>
    <t>Perímetro</t>
  </si>
  <si>
    <t>Precisión 1:X</t>
  </si>
  <si>
    <t>Mínima</t>
  </si>
  <si>
    <t>Método Bowditch — Corr_ΔN = −Error_N · d/P</t>
  </si>
  <si>
    <t>Corr ΔN</t>
  </si>
  <si>
    <t>Corr ΔE</t>
  </si>
  <si>
    <t>ΔN corr</t>
  </si>
  <si>
    <t>ΔE corr</t>
  </si>
  <si>
    <t>Método Tránsito — Corr_ΔN = −Error_N · |ΔN| / Σ|ΔN|</t>
  </si>
  <si>
    <t>Σ|ΔN|</t>
  </si>
  <si>
    <t>Σ|ΔE|</t>
  </si>
  <si>
    <t>Método Crandall — ángulos fijos, ajusta distancias por mínimos cuadrados ponderados</t>
  </si>
  <si>
    <t>a₁₁ = Σ d·cos²(Az)</t>
  </si>
  <si>
    <t>a₂₂ = Σ d·sin²(Az)</t>
  </si>
  <si>
    <t>a₁₂ = Σ d·cos·sin</t>
  </si>
  <si>
    <t>det</t>
  </si>
  <si>
    <t>λ₁</t>
  </si>
  <si>
    <t>λ₂</t>
  </si>
  <si>
    <t>δd</t>
  </si>
  <si>
    <t>Poligonal abierta con control — ejemplo (convención de TopoField)</t>
  </si>
  <si>
    <t>Punto de partida y de llegada conocidos</t>
  </si>
  <si>
    <t/>
  </si>
  <si>
    <t>Partida</t>
  </si>
  <si>
    <t>Llegada</t>
  </si>
  <si>
    <t>tercer_orden (K=15, 1:5000)</t>
  </si>
  <si>
    <t>Estaciones — α = deflexión en la estación, d = lado SALIENDO</t>
  </si>
  <si>
    <t>Sentido</t>
  </si>
  <si>
    <t>P1</t>
  </si>
  <si>
    <t>P2</t>
  </si>
  <si>
    <t>P3</t>
  </si>
  <si>
    <t>Σ ΔN</t>
  </si>
  <si>
    <t>Σ ΔE</t>
  </si>
  <si>
    <t>N calculado final</t>
  </si>
  <si>
    <t>E calculado final</t>
  </si>
  <si>
    <t>Método Bowditch</t>
  </si>
  <si>
    <t>Tránsito y Crandall siguen las mismas fórmulas que en la hoja Cerrada. Para usar este libro como verificación, reemplaza los datos de campo (filas 11–13) por los del caso real.</t>
  </si>
  <si>
    <t>Poligonal abierta sin control — Caso 3 (reconocimiento, sin cierre)</t>
  </si>
  <si>
    <t>Punto de partida</t>
  </si>
  <si>
    <t>E1</t>
  </si>
  <si>
    <t>Estaciones — α = ángulo horizontal, d = lado SALIENDO</t>
  </si>
  <si>
    <t>E2</t>
  </si>
  <si>
    <t>E3</t>
  </si>
  <si>
    <t>E4</t>
  </si>
  <si>
    <t>Coordenadas (sin corrección — la poligonal sin control no la admite)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</si>
</sst>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5" x14ac:knownFonts="1">
    <font>
      <color theme="1"/>
      <family val="2"/>
      <scheme val="minor"/>
      <sz val="11"/>
      <name val="Calibri"/>
    </font>
    <font>
      <b/>
      <color rgb="FF0B3D5C"/>
      <sz val="14"/>
    </font>
    <font>
      <b/>
      <color rgb="FF0B3D5C"/>
      <sz val="11"/>
    </font>
    <font>
      <b/>
    </font>
    <font>
      <i/>
      <color rgb="FF5D6D7E"/>
    </font>
  </fonts>
  <fills count="4">
    <fill>
      <patternFill patternType="none"/>
    </fill>
    <fill>
      <patternFill patternType="gray125"/>
    </fill>
    <fill>
      <patternFill patternType="solid">
        <fgColor rgb="FFE3F2FD"/>
      </patternFill>
    </fill>
    <fill>
      <patternFill patternType="solid">
        <fgColor rgb="FFF2F3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vertical="center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4" fontId="3" fillId="0" borderId="0" xfId="0" applyNumberFormat="1" applyFont="1"/>
    <xf numFmtId="2" fontId="0" fillId="0" borderId="0" xfId="0" applyNumberForma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cols>
    <col min="1" max="1" width="12" customWidth="1"/>
    <col min="5" max="10" width="12" customWidth="1"/>
  </cols>
  <sheetData>
    <row r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1" x14ac:dyDescent="0.25">
      <c r="A3" s="3" t="s">
        <v>1</v>
      </c>
    </row>
    <row r="4" spans="1:10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25">
      <c r="A5" t="s">
        <v>12</v>
      </c>
      <c r="B5">
        <v>1000</v>
      </c>
      <c r="C5">
        <v>1000</v>
      </c>
      <c r="D5">
        <v>45</v>
      </c>
      <c r="E5">
        <v>0</v>
      </c>
      <c r="F5">
        <v>0</v>
      </c>
      <c r="G5" s="5">
        <f>D5+E5/60+F5/3600</f>
      </c>
      <c r="H5" t="s">
        <v>13</v>
      </c>
      <c r="I5">
        <v>15</v>
      </c>
      <c r="J5">
        <v>5000</v>
      </c>
    </row>
    <row r="7" spans="1:1" x14ac:dyDescent="0.25">
      <c r="A7" s="3" t="s">
        <v>14</v>
      </c>
    </row>
    <row r="8" spans="1:10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</row>
    <row r="9" spans="1:10" x14ac:dyDescent="0.25">
      <c r="A9" t="s">
        <v>12</v>
      </c>
      <c r="B9">
        <v>95</v>
      </c>
      <c r="C9">
        <v>30</v>
      </c>
      <c r="D9">
        <v>0</v>
      </c>
      <c r="E9" s="5">
        <f>B9+C9/60+D9/3600</f>
      </c>
      <c r="F9" s="5">
        <f>E9+$B$17</f>
      </c>
      <c r="G9" s="6">
        <v>120.5</v>
      </c>
      <c r="H9" s="5">
        <f>$G$5</f>
      </c>
      <c r="I9" s="5">
        <f>G9*COS(RADIANS(H9))</f>
      </c>
      <c r="J9" s="5">
        <f>G9*SIN(RADIANS(H9))</f>
      </c>
    </row>
    <row r="10" spans="1:10" x14ac:dyDescent="0.25">
      <c r="A10" t="s">
        <v>25</v>
      </c>
      <c r="B10">
        <v>108</v>
      </c>
      <c r="C10">
        <v>15</v>
      </c>
      <c r="D10">
        <v>0</v>
      </c>
      <c r="E10" s="5">
        <f>B10+C10/60+D10/3600</f>
      </c>
      <c r="F10" s="5">
        <f>E10+$B$17</f>
      </c>
      <c r="G10" s="6">
        <v>98.75</v>
      </c>
      <c r="H10" s="5">
        <f>MOD(H9+180-F10,360)</f>
      </c>
      <c r="I10" s="5">
        <f>G10*COS(RADIANS(H10))</f>
      </c>
      <c r="J10" s="5">
        <f>G10*SIN(RADIANS(H10))</f>
      </c>
    </row>
    <row r="11" spans="1:10" x14ac:dyDescent="0.25">
      <c r="A11" t="s">
        <v>26</v>
      </c>
      <c r="B11">
        <v>112</v>
      </c>
      <c r="C11">
        <v>0</v>
      </c>
      <c r="D11">
        <v>0</v>
      </c>
      <c r="E11" s="5">
        <f>B11+C11/60+D11/3600</f>
      </c>
      <c r="F11" s="5">
        <f>E11+$B$17</f>
      </c>
      <c r="G11" s="6">
        <v>135.2</v>
      </c>
      <c r="H11" s="5">
        <f>MOD(H10+180-F11,360)</f>
      </c>
      <c r="I11" s="5">
        <f>G11*COS(RADIANS(H11))</f>
      </c>
      <c r="J11" s="5">
        <f>G11*SIN(RADIANS(H11))</f>
      </c>
    </row>
    <row r="12" spans="1:10" x14ac:dyDescent="0.25">
      <c r="A12" t="s">
        <v>27</v>
      </c>
      <c r="B12">
        <v>87</v>
      </c>
      <c r="C12">
        <v>45</v>
      </c>
      <c r="D12">
        <v>0</v>
      </c>
      <c r="E12" s="5">
        <f>B12+C12/60+D12/3600</f>
      </c>
      <c r="F12" s="5">
        <f>E12+$B$17</f>
      </c>
      <c r="G12" s="6">
        <v>110.3</v>
      </c>
      <c r="H12" s="5">
        <f>MOD(H11+180-F12,360)</f>
      </c>
      <c r="I12" s="5">
        <f>G12*COS(RADIANS(H12))</f>
      </c>
      <c r="J12" s="5">
        <f>G12*SIN(RADIANS(H12))</f>
      </c>
    </row>
    <row r="13" spans="1:10" x14ac:dyDescent="0.25">
      <c r="A13" t="s">
        <v>28</v>
      </c>
      <c r="B13">
        <v>136</v>
      </c>
      <c r="C13">
        <v>30</v>
      </c>
      <c r="D13">
        <v>0</v>
      </c>
      <c r="E13" s="5">
        <f>B13+C13/60+D13/3600</f>
      </c>
      <c r="F13" s="5">
        <f>E13+$B$17</f>
      </c>
      <c r="G13" s="6">
        <v>89.6</v>
      </c>
      <c r="H13" s="5">
        <f>MOD(H12+180-F13,360)</f>
      </c>
      <c r="I13" s="5">
        <f>G13*COS(RADIANS(H13))</f>
      </c>
      <c r="J13" s="5">
        <f>G13*SIN(RADIANS(H13))</f>
      </c>
    </row>
    <row r="14" spans="1:10" x14ac:dyDescent="0.25">
      <c r="A14" s="7" t="s">
        <v>29</v>
      </c>
      <c r="E14" s="8">
        <f>SUM(E9:E13)</f>
      </c>
      <c r="G14" s="8">
        <f>SUM(G9:G13)</f>
      </c>
      <c r="I14" s="8">
        <f>SUM(I9:I13)</f>
      </c>
      <c r="J14" s="8">
        <f>SUM(J9:J13)</f>
      </c>
    </row>
    <row r="16" spans="1:1" x14ac:dyDescent="0.25">
      <c r="A16" s="3" t="s">
        <v>30</v>
      </c>
    </row>
    <row r="17" spans="1:7" x14ac:dyDescent="0.25">
      <c r="A17" t="s">
        <v>31</v>
      </c>
      <c r="B17" s="9">
        <f>-(E14-540)/5</f>
      </c>
      <c r="D17" t="s">
        <v>32</v>
      </c>
      <c r="E17" s="5">
        <f>E14</f>
      </c>
      <c r="F17" t="s">
        <v>33</v>
      </c>
      <c r="G17">
        <v>540</v>
      </c>
    </row>
    <row r="18" spans="1:7" x14ac:dyDescent="0.25">
      <c r="A18" t="s">
        <v>34</v>
      </c>
      <c r="B18" s="9">
        <f>(E14-540)*3600</f>
      </c>
      <c r="D18" t="s">
        <v>35</v>
      </c>
      <c r="E18" s="9">
        <f>I5*SQRT(5)</f>
      </c>
      <c r="F18" t="s">
        <v>36</v>
      </c>
      <c r="G18">
        <f>IF(ABS(B18)&lt;=E18,"sí","no")</f>
      </c>
    </row>
    <row r="20" spans="1:1" x14ac:dyDescent="0.25">
      <c r="A20" s="3" t="s">
        <v>37</v>
      </c>
    </row>
    <row r="21" spans="1:5" x14ac:dyDescent="0.25">
      <c r="A21" t="s">
        <v>38</v>
      </c>
      <c r="B21" s="5">
        <f>I14</f>
      </c>
      <c r="D21" t="s">
        <v>39</v>
      </c>
      <c r="E21" s="5">
        <f>J14</f>
      </c>
    </row>
    <row r="22" spans="1:5" x14ac:dyDescent="0.25">
      <c r="A22" t="s">
        <v>40</v>
      </c>
      <c r="B22" s="5">
        <f>SQRT(B21^2+E21^2)</f>
      </c>
      <c r="D22" t="s">
        <v>41</v>
      </c>
      <c r="E22" s="6">
        <f>G14</f>
      </c>
    </row>
    <row r="23" spans="1:7" x14ac:dyDescent="0.25">
      <c r="A23" t="s">
        <v>42</v>
      </c>
      <c r="B23" s="9">
        <f>IF(B22&gt;0,E22/B22,0)</f>
      </c>
      <c r="D23" t="s">
        <v>43</v>
      </c>
      <c r="E23">
        <f>J5</f>
      </c>
      <c r="F23" t="s">
        <v>36</v>
      </c>
      <c r="G23">
        <f>IF(B23&gt;=E23,"sí","no")</f>
      </c>
    </row>
    <row r="25" spans="1:1" x14ac:dyDescent="0.25">
      <c r="A25" s="3" t="s">
        <v>44</v>
      </c>
    </row>
    <row r="26" spans="1:7" x14ac:dyDescent="0.25">
      <c r="A26" s="4" t="s">
        <v>15</v>
      </c>
      <c r="B26" s="4" t="s">
        <v>45</v>
      </c>
      <c r="C26" s="4" t="s">
        <v>46</v>
      </c>
      <c r="D26" s="4" t="s">
        <v>47</v>
      </c>
      <c r="E26" s="4" t="s">
        <v>48</v>
      </c>
      <c r="F26" s="4" t="s">
        <v>3</v>
      </c>
      <c r="G26" s="4" t="s">
        <v>4</v>
      </c>
    </row>
    <row r="27" spans="1:7" x14ac:dyDescent="0.25">
      <c r="A27" t="s">
        <v>12</v>
      </c>
      <c r="B27" s="5">
        <f>-$B$21*G9/$E$22</f>
      </c>
      <c r="C27" s="5">
        <f>-$E$21*G9/$E$22</f>
      </c>
      <c r="D27" s="5">
        <f>I9+B27</f>
      </c>
      <c r="E27" s="5">
        <f>J9+C27</f>
      </c>
      <c r="F27" s="6">
        <f>$B$5</f>
      </c>
      <c r="G27" s="6">
        <f>$C$5</f>
      </c>
    </row>
    <row r="28" spans="1:7" x14ac:dyDescent="0.25">
      <c r="A28" t="s">
        <v>25</v>
      </c>
      <c r="B28" s="5">
        <f>-$B$21*G10/$E$22</f>
      </c>
      <c r="C28" s="5">
        <f>-$E$21*G10/$E$22</f>
      </c>
      <c r="D28" s="5">
        <f>I10+B28</f>
      </c>
      <c r="E28" s="5">
        <f>J10+C28</f>
      </c>
      <c r="F28" s="6">
        <f>F27+D27</f>
      </c>
      <c r="G28" s="6">
        <f>G27+E27</f>
      </c>
    </row>
    <row r="29" spans="1:7" x14ac:dyDescent="0.25">
      <c r="A29" t="s">
        <v>26</v>
      </c>
      <c r="B29" s="5">
        <f>-$B$21*G11/$E$22</f>
      </c>
      <c r="C29" s="5">
        <f>-$E$21*G11/$E$22</f>
      </c>
      <c r="D29" s="5">
        <f>I11+B29</f>
      </c>
      <c r="E29" s="5">
        <f>J11+C29</f>
      </c>
      <c r="F29" s="6">
        <f>F28+D28</f>
      </c>
      <c r="G29" s="6">
        <f>G28+E28</f>
      </c>
    </row>
    <row r="30" spans="1:7" x14ac:dyDescent="0.25">
      <c r="A30" t="s">
        <v>27</v>
      </c>
      <c r="B30" s="5">
        <f>-$B$21*G12/$E$22</f>
      </c>
      <c r="C30" s="5">
        <f>-$E$21*G12/$E$22</f>
      </c>
      <c r="D30" s="5">
        <f>I12+B30</f>
      </c>
      <c r="E30" s="5">
        <f>J12+C30</f>
      </c>
      <c r="F30" s="6">
        <f>F29+D29</f>
      </c>
      <c r="G30" s="6">
        <f>G29+E29</f>
      </c>
    </row>
    <row r="31" spans="1:7" x14ac:dyDescent="0.25">
      <c r="A31" t="s">
        <v>28</v>
      </c>
      <c r="B31" s="5">
        <f>-$B$21*G13/$E$22</f>
      </c>
      <c r="C31" s="5">
        <f>-$E$21*G13/$E$22</f>
      </c>
      <c r="D31" s="5">
        <f>I13+B31</f>
      </c>
      <c r="E31" s="5">
        <f>J13+C31</f>
      </c>
      <c r="F31" s="6">
        <f>F30+D30</f>
      </c>
      <c r="G31" s="6">
        <f>G30+E30</f>
      </c>
    </row>
    <row r="33" spans="1:10" x14ac:dyDescent="0.25">
      <c r="A33" s="3" t="s">
        <v>49</v>
      </c>
      <c r="I33" t="s">
        <v>50</v>
      </c>
      <c r="J33" s="5">
        <f>SUMPRODUCT(ABS(I9:I13))</f>
      </c>
    </row>
    <row r="34" spans="1:10" x14ac:dyDescent="0.25">
      <c r="A34" s="4" t="s">
        <v>15</v>
      </c>
      <c r="B34" s="4" t="s">
        <v>45</v>
      </c>
      <c r="C34" s="4" t="s">
        <v>46</v>
      </c>
      <c r="D34" s="4" t="s">
        <v>47</v>
      </c>
      <c r="E34" s="4" t="s">
        <v>48</v>
      </c>
      <c r="F34" s="4" t="s">
        <v>3</v>
      </c>
      <c r="G34" s="4" t="s">
        <v>4</v>
      </c>
      <c r="I34" t="s">
        <v>51</v>
      </c>
      <c r="J34" s="5">
        <f>SUMPRODUCT(ABS(J9:J13))</f>
      </c>
    </row>
    <row r="35" spans="1:7" x14ac:dyDescent="0.25">
      <c r="A35" t="s">
        <v>12</v>
      </c>
      <c r="B35" s="5">
        <f>IF($J$33&gt;0,-$B$21*ABS(I9)/$J$33,0)</f>
      </c>
      <c r="C35" s="5">
        <f>IF($J$34&gt;0,-$E$21*ABS(J9)/$J$34,0)</f>
      </c>
      <c r="D35" s="5">
        <f>I9+B35</f>
      </c>
      <c r="E35" s="5">
        <f>J9+C35</f>
      </c>
      <c r="F35" s="6">
        <f>$B$5</f>
      </c>
      <c r="G35" s="6">
        <f>$C$5</f>
      </c>
    </row>
    <row r="36" spans="1:7" x14ac:dyDescent="0.25">
      <c r="A36" t="s">
        <v>25</v>
      </c>
      <c r="B36" s="5">
        <f>IF($J$33&gt;0,-$B$21*ABS(I10)/$J$33,0)</f>
      </c>
      <c r="C36" s="5">
        <f>IF($J$34&gt;0,-$E$21*ABS(J10)/$J$34,0)</f>
      </c>
      <c r="D36" s="5">
        <f>I10+B36</f>
      </c>
      <c r="E36" s="5">
        <f>J10+C36</f>
      </c>
      <c r="F36" s="6">
        <f>F35+D35</f>
      </c>
      <c r="G36" s="6">
        <f>G35+E35</f>
      </c>
    </row>
    <row r="37" spans="1:7" x14ac:dyDescent="0.25">
      <c r="A37" t="s">
        <v>26</v>
      </c>
      <c r="B37" s="5">
        <f>IF($J$33&gt;0,-$B$21*ABS(I11)/$J$33,0)</f>
      </c>
      <c r="C37" s="5">
        <f>IF($J$34&gt;0,-$E$21*ABS(J11)/$J$34,0)</f>
      </c>
      <c r="D37" s="5">
        <f>I11+B37</f>
      </c>
      <c r="E37" s="5">
        <f>J11+C37</f>
      </c>
      <c r="F37" s="6">
        <f>F36+D36</f>
      </c>
      <c r="G37" s="6">
        <f>G36+E36</f>
      </c>
    </row>
    <row r="38" spans="1:7" x14ac:dyDescent="0.25">
      <c r="A38" t="s">
        <v>27</v>
      </c>
      <c r="B38" s="5">
        <f>IF($J$33&gt;0,-$B$21*ABS(I12)/$J$33,0)</f>
      </c>
      <c r="C38" s="5">
        <f>IF($J$34&gt;0,-$E$21*ABS(J12)/$J$34,0)</f>
      </c>
      <c r="D38" s="5">
        <f>I12+B38</f>
      </c>
      <c r="E38" s="5">
        <f>J12+C38</f>
      </c>
      <c r="F38" s="6">
        <f>F37+D37</f>
      </c>
      <c r="G38" s="6">
        <f>G37+E37</f>
      </c>
    </row>
    <row r="39" spans="1:7" x14ac:dyDescent="0.25">
      <c r="A39" t="s">
        <v>28</v>
      </c>
      <c r="B39" s="5">
        <f>IF($J$33&gt;0,-$B$21*ABS(I13)/$J$33,0)</f>
      </c>
      <c r="C39" s="5">
        <f>IF($J$34&gt;0,-$E$21*ABS(J13)/$J$34,0)</f>
      </c>
      <c r="D39" s="5">
        <f>I13+B39</f>
      </c>
      <c r="E39" s="5">
        <f>J13+C39</f>
      </c>
      <c r="F39" s="6">
        <f>F38+D38</f>
      </c>
      <c r="G39" s="6">
        <f>G38+E38</f>
      </c>
    </row>
    <row r="41" spans="1:1" x14ac:dyDescent="0.25">
      <c r="A41" s="3" t="s">
        <v>52</v>
      </c>
    </row>
    <row r="42" spans="1:2" x14ac:dyDescent="0.25">
      <c r="A42" t="s">
        <v>53</v>
      </c>
      <c r="B42" s="5">
        <f>SUMPRODUCT(G9:G13, COS(RADIANS(H9:H13))^2)</f>
      </c>
    </row>
    <row r="43" spans="1:2" x14ac:dyDescent="0.25">
      <c r="A43" t="s">
        <v>54</v>
      </c>
      <c r="B43" s="5">
        <f>SUMPRODUCT(G9:G13, SIN(RADIANS(H9:H13))^2)</f>
      </c>
    </row>
    <row r="44" spans="1:2" x14ac:dyDescent="0.25">
      <c r="A44" t="s">
        <v>55</v>
      </c>
      <c r="B44" s="5">
        <f>SUMPRODUCT(G9:G13, COS(RADIANS(H9:H13)), SIN(RADIANS(H9:H13)))</f>
      </c>
    </row>
    <row r="45" spans="1:2" x14ac:dyDescent="0.25">
      <c r="A45" t="s">
        <v>56</v>
      </c>
      <c r="B45" s="5">
        <f>B42*B43 - B44^2</f>
      </c>
    </row>
    <row r="46" spans="1:2" x14ac:dyDescent="0.25">
      <c r="A46" t="s">
        <v>57</v>
      </c>
      <c r="B46" s="9">
        <f>IF(B45&lt;&gt;0,(B43*-B21 - B44*-E21)/B45,0)</f>
      </c>
    </row>
    <row r="47" spans="1:2" x14ac:dyDescent="0.25">
      <c r="A47" t="s">
        <v>58</v>
      </c>
      <c r="B47" s="9">
        <f>IF(B45&lt;&gt;0,(-B44*-B21 + B42*-E21)/B45,0)</f>
      </c>
    </row>
    <row r="49" spans="1:6" x14ac:dyDescent="0.25">
      <c r="A49" s="4" t="s">
        <v>15</v>
      </c>
      <c r="B49" s="4" t="s">
        <v>59</v>
      </c>
      <c r="C49" s="4" t="s">
        <v>47</v>
      </c>
      <c r="D49" s="4" t="s">
        <v>48</v>
      </c>
      <c r="E49" s="4" t="s">
        <v>3</v>
      </c>
      <c r="F49" s="4" t="s">
        <v>4</v>
      </c>
    </row>
    <row r="50" spans="1:6" x14ac:dyDescent="0.25">
      <c r="A50" t="s">
        <v>12</v>
      </c>
      <c r="B50" s="5">
        <f>G9*($B$46*COS(RADIANS(H9))+$B$47*SIN(RADIANS(H9)))</f>
      </c>
      <c r="C50" s="5">
        <f>I9+B50*COS(RADIANS(H9))</f>
      </c>
      <c r="D50" s="5">
        <f>J9+B50*SIN(RADIANS(H9))</f>
      </c>
      <c r="E50" s="6">
        <f>$B$5</f>
      </c>
      <c r="F50" s="6">
        <f>$C$5</f>
      </c>
    </row>
    <row r="51" spans="1:6" x14ac:dyDescent="0.25">
      <c r="A51" t="s">
        <v>25</v>
      </c>
      <c r="B51" s="5">
        <f>G10*($B$46*COS(RADIANS(H10))+$B$47*SIN(RADIANS(H10)))</f>
      </c>
      <c r="C51" s="5">
        <f>I10+B51*COS(RADIANS(H10))</f>
      </c>
      <c r="D51" s="5">
        <f>J10+B51*SIN(RADIANS(H10))</f>
      </c>
      <c r="E51" s="6">
        <f>E50+C50</f>
      </c>
      <c r="F51" s="6">
        <f>F50+D50</f>
      </c>
    </row>
    <row r="52" spans="1:6" x14ac:dyDescent="0.25">
      <c r="A52" t="s">
        <v>26</v>
      </c>
      <c r="B52" s="5">
        <f>G11*($B$46*COS(RADIANS(H11))+$B$47*SIN(RADIANS(H11)))</f>
      </c>
      <c r="C52" s="5">
        <f>I11+B52*COS(RADIANS(H11))</f>
      </c>
      <c r="D52" s="5">
        <f>J11+B52*SIN(RADIANS(H11))</f>
      </c>
      <c r="E52" s="6">
        <f>E51+C51</f>
      </c>
      <c r="F52" s="6">
        <f>F51+D51</f>
      </c>
    </row>
    <row r="53" spans="1:6" x14ac:dyDescent="0.25">
      <c r="A53" t="s">
        <v>27</v>
      </c>
      <c r="B53" s="5">
        <f>G12*($B$46*COS(RADIANS(H12))+$B$47*SIN(RADIANS(H12)))</f>
      </c>
      <c r="C53" s="5">
        <f>I12+B53*COS(RADIANS(H12))</f>
      </c>
      <c r="D53" s="5">
        <f>J12+B53*SIN(RADIANS(H12))</f>
      </c>
      <c r="E53" s="6">
        <f>E52+C52</f>
      </c>
      <c r="F53" s="6">
        <f>F52+D52</f>
      </c>
    </row>
    <row r="54" spans="1:6" x14ac:dyDescent="0.25">
      <c r="A54" t="s">
        <v>28</v>
      </c>
      <c r="B54" s="5">
        <f>G13*($B$46*COS(RADIANS(H13))+$B$47*SIN(RADIANS(H13)))</f>
      </c>
      <c r="C54" s="5">
        <f>I13+B54*COS(RADIANS(H13))</f>
      </c>
      <c r="D54" s="5">
        <f>J13+B54*SIN(RADIANS(H13))</f>
      </c>
      <c r="E54" s="6">
        <f>E53+C53</f>
      </c>
      <c r="F54" s="6">
        <f>F53+D53</f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cols>
    <col min="1" max="1" width="12" customWidth="1"/>
    <col min="5" max="5" width="12" customWidth="1"/>
    <col min="7" max="10" width="12" customWidth="1"/>
  </cols>
  <sheetData>
    <row r="1" spans="1:10" s="1" customFormat="1" x14ac:dyDescent="0.25">
      <c r="A1" s="2" t="s">
        <v>60</v>
      </c>
      <c r="B1" s="2"/>
      <c r="C1" s="2"/>
      <c r="D1" s="2"/>
      <c r="E1" s="2"/>
      <c r="F1" s="2"/>
      <c r="G1" s="2"/>
      <c r="H1" s="2"/>
      <c r="I1" s="2"/>
      <c r="J1" s="2"/>
    </row>
    <row r="3" spans="1:1" x14ac:dyDescent="0.25">
      <c r="A3" s="3" t="s">
        <v>61</v>
      </c>
    </row>
    <row r="4" spans="1:7" x14ac:dyDescent="0.25">
      <c r="A4" s="4" t="s">
        <v>62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x14ac:dyDescent="0.25">
      <c r="A5" t="s">
        <v>63</v>
      </c>
      <c r="B5">
        <v>0</v>
      </c>
      <c r="C5">
        <v>0</v>
      </c>
      <c r="D5">
        <v>90</v>
      </c>
      <c r="E5">
        <v>0</v>
      </c>
      <c r="F5">
        <v>0</v>
      </c>
      <c r="G5" s="5">
        <f>D5+E5/60+F5/3600</f>
      </c>
    </row>
    <row r="6" spans="1:4" x14ac:dyDescent="0.25">
      <c r="A6" t="s">
        <v>64</v>
      </c>
      <c r="B6">
        <v>-50</v>
      </c>
      <c r="C6">
        <v>186.60254</v>
      </c>
      <c r="D6" t="s">
        <v>62</v>
      </c>
    </row>
    <row r="7" spans="1:2" x14ac:dyDescent="0.25">
      <c r="A7" t="s">
        <v>9</v>
      </c>
      <c r="B7" t="s">
        <v>65</v>
      </c>
    </row>
    <row r="9" spans="1:1" x14ac:dyDescent="0.25">
      <c r="A9" s="3" t="s">
        <v>66</v>
      </c>
    </row>
    <row r="10" spans="1:10" x14ac:dyDescent="0.25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67</v>
      </c>
      <c r="G10" s="4" t="s">
        <v>21</v>
      </c>
      <c r="H10" s="4" t="s">
        <v>22</v>
      </c>
      <c r="I10" s="4" t="s">
        <v>23</v>
      </c>
      <c r="J10" s="4" t="s">
        <v>24</v>
      </c>
    </row>
    <row r="11" spans="1:10" x14ac:dyDescent="0.25">
      <c r="A11" t="s">
        <v>68</v>
      </c>
      <c r="B11">
        <v>0</v>
      </c>
      <c r="C11">
        <v>0</v>
      </c>
      <c r="D11">
        <v>0</v>
      </c>
      <c r="E11" s="5">
        <f>B11+C11/60+D11/3600</f>
      </c>
      <c r="F11" t="s">
        <v>62</v>
      </c>
      <c r="G11" s="6">
        <v>100</v>
      </c>
      <c r="H11" s="5">
        <f>$G$5</f>
      </c>
      <c r="I11" s="5">
        <f>G11*COS(RADIANS(H11))</f>
      </c>
      <c r="J11" s="5">
        <f>G11*SIN(RADIANS(H11))</f>
      </c>
    </row>
    <row r="12" spans="1:10" x14ac:dyDescent="0.25">
      <c r="A12" t="s">
        <v>69</v>
      </c>
      <c r="B12">
        <v>30</v>
      </c>
      <c r="C12">
        <v>0</v>
      </c>
      <c r="D12">
        <v>0</v>
      </c>
      <c r="E12" s="5">
        <f>B12+C12/60+D12/3600</f>
      </c>
      <c r="F12" t="s">
        <v>27</v>
      </c>
      <c r="G12" s="6">
        <v>100</v>
      </c>
      <c r="H12" s="5">
        <f>MOD(H11+IF(F12="I",-1,1)*E12,360)</f>
      </c>
      <c r="I12" s="5">
        <f>G12*COS(RADIANS(H12))</f>
      </c>
      <c r="J12" s="5">
        <f>G12*SIN(RADIANS(H12))</f>
      </c>
    </row>
    <row r="13" spans="1:10" x14ac:dyDescent="0.25">
      <c r="A13" t="s">
        <v>70</v>
      </c>
      <c r="B13">
        <v>0</v>
      </c>
      <c r="C13">
        <v>0</v>
      </c>
      <c r="D13">
        <v>0</v>
      </c>
      <c r="E13" s="5">
        <f>B13+C13/60+D13/3600</f>
      </c>
      <c r="F13" t="s">
        <v>62</v>
      </c>
      <c r="G13" s="6">
        <v>0</v>
      </c>
      <c r="H13" s="5" t="s">
        <v>62</v>
      </c>
      <c r="I13" s="5"/>
      <c r="J13" s="5"/>
    </row>
    <row r="15" spans="1:1" x14ac:dyDescent="0.25">
      <c r="A15" s="3" t="s">
        <v>37</v>
      </c>
    </row>
    <row r="16" spans="1:2" x14ac:dyDescent="0.25">
      <c r="A16" t="s">
        <v>71</v>
      </c>
      <c r="B16" s="5">
        <f>SUM(I11:I12)</f>
      </c>
    </row>
    <row r="17" spans="1:2" x14ac:dyDescent="0.25">
      <c r="A17" t="s">
        <v>72</v>
      </c>
      <c r="B17" s="5">
        <f>SUM(J11:J12)</f>
      </c>
    </row>
    <row r="18" spans="1:2" x14ac:dyDescent="0.25">
      <c r="A18" t="s">
        <v>73</v>
      </c>
      <c r="B18" s="5">
        <f>$B$5+B16</f>
      </c>
    </row>
    <row r="19" spans="1:2" x14ac:dyDescent="0.25">
      <c r="A19" t="s">
        <v>74</v>
      </c>
      <c r="B19" s="5">
        <f>$C$5+B17</f>
      </c>
    </row>
    <row r="20" spans="1:2" x14ac:dyDescent="0.25">
      <c r="A20" t="s">
        <v>38</v>
      </c>
      <c r="B20" s="5">
        <f>B18-$B$6</f>
      </c>
    </row>
    <row r="21" spans="1:2" x14ac:dyDescent="0.25">
      <c r="A21" t="s">
        <v>39</v>
      </c>
      <c r="B21" s="5">
        <f>B19-$C$6</f>
      </c>
    </row>
    <row r="22" spans="1:2" x14ac:dyDescent="0.25">
      <c r="A22" t="s">
        <v>40</v>
      </c>
      <c r="B22" s="5">
        <f>SQRT(B20^2+B21^2)</f>
      </c>
    </row>
    <row r="23" spans="1:2" x14ac:dyDescent="0.25">
      <c r="A23" t="s">
        <v>41</v>
      </c>
      <c r="B23" s="6">
        <f>SUM(G11:G12)</f>
      </c>
    </row>
    <row r="24" spans="1:2" x14ac:dyDescent="0.25">
      <c r="A24" t="s">
        <v>42</v>
      </c>
      <c r="B24" s="9">
        <f>IF(B22&gt;0,B23/B22,0)</f>
      </c>
    </row>
    <row r="26" spans="1:1" x14ac:dyDescent="0.25">
      <c r="A26" s="3" t="s">
        <v>75</v>
      </c>
    </row>
    <row r="27" spans="1:7" x14ac:dyDescent="0.25">
      <c r="A27" s="4" t="s">
        <v>15</v>
      </c>
      <c r="B27" s="4" t="s">
        <v>45</v>
      </c>
      <c r="C27" s="4" t="s">
        <v>46</v>
      </c>
      <c r="D27" s="4" t="s">
        <v>47</v>
      </c>
      <c r="E27" s="4" t="s">
        <v>48</v>
      </c>
      <c r="F27" s="4" t="s">
        <v>3</v>
      </c>
      <c r="G27" s="4" t="s">
        <v>4</v>
      </c>
    </row>
    <row r="28" spans="1:7" x14ac:dyDescent="0.25">
      <c r="A28" t="s">
        <v>68</v>
      </c>
      <c r="B28" s="5">
        <f>-$B$20*G11/$B$23</f>
      </c>
      <c r="C28" s="5">
        <f>-$B$21*G11/$B$23</f>
      </c>
      <c r="D28" s="5">
        <f>I11+B28</f>
      </c>
      <c r="E28" s="5">
        <f>J11+C28</f>
      </c>
      <c r="F28" s="6">
        <f>$B$5</f>
      </c>
      <c r="G28" s="6">
        <f>$C$5</f>
      </c>
    </row>
    <row r="29" spans="1:7" x14ac:dyDescent="0.25">
      <c r="A29" t="s">
        <v>69</v>
      </c>
      <c r="B29" s="5">
        <f>-$B$20*G12/$B$23</f>
      </c>
      <c r="C29" s="5">
        <f>-$B$21*G12/$B$23</f>
      </c>
      <c r="D29" s="5">
        <f>I12+B29</f>
      </c>
      <c r="E29" s="5">
        <f>J12+C29</f>
      </c>
      <c r="F29" s="6">
        <f>F28+D28</f>
      </c>
      <c r="G29" s="6">
        <f>G28+E28</f>
      </c>
    </row>
    <row r="30" spans="1:7" x14ac:dyDescent="0.25">
      <c r="A30" t="s">
        <v>70</v>
      </c>
      <c r="B30" s="5"/>
      <c r="C30" s="5"/>
      <c r="D30" s="5"/>
      <c r="E30" s="5"/>
      <c r="F30" s="6">
        <f>F29+D29</f>
      </c>
      <c r="G30" s="6">
        <f>G29+E29</f>
      </c>
    </row>
    <row r="32" spans="1:10" x14ac:dyDescent="0.25">
      <c r="A32" s="10" t="s">
        <v>76</v>
      </c>
      <c r="B32" s="10"/>
      <c r="C32" s="10"/>
      <c r="D32" s="10"/>
      <c r="E32" s="10"/>
      <c r="F32" s="10"/>
      <c r="G32" s="10"/>
      <c r="H32" s="10"/>
      <c r="I32" s="10"/>
      <c r="J32" s="10"/>
    </row>
  </sheetData>
  <mergeCells count="2">
    <mergeCell ref="A1:J1"/>
    <mergeCell ref="A32:J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12" customWidth="1"/>
    <col min="5" max="9" width="12" customWidth="1"/>
  </cols>
  <sheetData>
    <row r="1" spans="1:9" s="1" customFormat="1" x14ac:dyDescent="0.25">
      <c r="A1" s="2" t="s">
        <v>77</v>
      </c>
      <c r="B1" s="2"/>
      <c r="C1" s="2"/>
      <c r="D1" s="2"/>
      <c r="E1" s="2"/>
      <c r="F1" s="2"/>
      <c r="G1" s="2"/>
      <c r="H1" s="2"/>
      <c r="I1" s="2"/>
    </row>
    <row r="3" spans="1:1" x14ac:dyDescent="0.25">
      <c r="A3" s="3" t="s">
        <v>78</v>
      </c>
    </row>
    <row r="4" spans="1:7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x14ac:dyDescent="0.25">
      <c r="A5" t="s">
        <v>79</v>
      </c>
      <c r="B5">
        <v>1000</v>
      </c>
      <c r="C5">
        <v>1000</v>
      </c>
      <c r="D5">
        <v>150</v>
      </c>
      <c r="E5">
        <v>0</v>
      </c>
      <c r="F5">
        <v>0</v>
      </c>
      <c r="G5" s="5">
        <f>D5+E5/60+F5/3600</f>
      </c>
    </row>
    <row r="7" spans="1:1" x14ac:dyDescent="0.25">
      <c r="A7" s="3" t="s">
        <v>80</v>
      </c>
    </row>
    <row r="8" spans="1:9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21</v>
      </c>
      <c r="G8" s="4" t="s">
        <v>22</v>
      </c>
      <c r="H8" s="4" t="s">
        <v>23</v>
      </c>
      <c r="I8" s="4" t="s">
        <v>24</v>
      </c>
    </row>
    <row r="9" spans="1:9" x14ac:dyDescent="0.25">
      <c r="A9" t="s">
        <v>79</v>
      </c>
      <c r="B9">
        <v>0</v>
      </c>
      <c r="C9">
        <v>0</v>
      </c>
      <c r="D9">
        <v>0</v>
      </c>
      <c r="E9" s="5">
        <f>B9+C9/60+D9/3600</f>
      </c>
      <c r="F9" s="6">
        <v>45.8</v>
      </c>
      <c r="G9" s="5">
        <f>$G$5</f>
      </c>
      <c r="H9" s="5">
        <f>F9*COS(RADIANS(G9))</f>
      </c>
      <c r="I9" s="5">
        <f>F9*SIN(RADIANS(G9))</f>
      </c>
    </row>
    <row r="10" spans="1:9" x14ac:dyDescent="0.25">
      <c r="A10" t="s">
        <v>81</v>
      </c>
      <c r="B10">
        <v>175</v>
      </c>
      <c r="C10">
        <v>30</v>
      </c>
      <c r="D10">
        <v>0</v>
      </c>
      <c r="E10" s="5">
        <f>B10+C10/60+D10/3600</f>
      </c>
      <c r="F10" s="6">
        <v>62.3</v>
      </c>
      <c r="G10" s="5">
        <f>MOD(G9+180+E10,360)</f>
      </c>
      <c r="H10" s="5">
        <f>F10*COS(RADIANS(G10))</f>
      </c>
      <c r="I10" s="5">
        <f>F10*SIN(RADIANS(G10))</f>
      </c>
    </row>
    <row r="11" spans="1:9" x14ac:dyDescent="0.25">
      <c r="A11" t="s">
        <v>82</v>
      </c>
      <c r="B11">
        <v>192</v>
      </c>
      <c r="C11">
        <v>15</v>
      </c>
      <c r="D11">
        <v>0</v>
      </c>
      <c r="E11" s="5">
        <f>B11+C11/60+D11/3600</f>
      </c>
      <c r="F11" s="6">
        <v>38.5</v>
      </c>
      <c r="G11" s="5">
        <f>MOD(G10+180+E11,360)</f>
      </c>
      <c r="H11" s="5">
        <f>F11*COS(RADIANS(G11))</f>
      </c>
      <c r="I11" s="5">
        <f>F11*SIN(RADIANS(G11))</f>
      </c>
    </row>
    <row r="12" spans="1:9" x14ac:dyDescent="0.25">
      <c r="A12" t="s">
        <v>83</v>
      </c>
      <c r="B12">
        <v>168</v>
      </c>
      <c r="C12">
        <v>0</v>
      </c>
      <c r="D12">
        <v>0</v>
      </c>
      <c r="E12" s="5">
        <f>B12+C12/60+D12/3600</f>
      </c>
      <c r="F12" s="6">
        <v>0</v>
      </c>
      <c r="G12" s="5" t="s">
        <v>62</v>
      </c>
      <c r="H12" s="5"/>
      <c r="I12" s="5"/>
    </row>
    <row r="14" spans="1:1" x14ac:dyDescent="0.25">
      <c r="A14" s="3" t="s">
        <v>84</v>
      </c>
    </row>
    <row r="15" spans="1:3" x14ac:dyDescent="0.25">
      <c r="A15" s="4" t="s">
        <v>15</v>
      </c>
      <c r="B15" s="4" t="s">
        <v>3</v>
      </c>
      <c r="C15" s="4" t="s">
        <v>4</v>
      </c>
    </row>
    <row r="16" spans="1:3" x14ac:dyDescent="0.25">
      <c r="A16" t="s">
        <v>79</v>
      </c>
      <c r="B16" s="6">
        <f>$B$5</f>
      </c>
      <c r="C16" s="6">
        <f>$C$5</f>
      </c>
    </row>
    <row r="17" spans="1:3" x14ac:dyDescent="0.25">
      <c r="A17" t="s">
        <v>81</v>
      </c>
      <c r="B17" s="6">
        <f>B16+H9</f>
      </c>
      <c r="C17" s="6">
        <f>C16+I9</f>
      </c>
    </row>
    <row r="18" spans="1:3" x14ac:dyDescent="0.25">
      <c r="A18" t="s">
        <v>82</v>
      </c>
      <c r="B18" s="6">
        <f>B17+H10</f>
      </c>
      <c r="C18" s="6">
        <f>C17+I10</f>
      </c>
    </row>
    <row r="19" spans="1:3" x14ac:dyDescent="0.25">
      <c r="A19" t="s">
        <v>83</v>
      </c>
      <c r="B19" s="6">
        <f>B18+H11</f>
      </c>
      <c r="C19" s="6">
        <f>C18+I11</f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Cerrada</vt:lpstr>
      <vt:lpstr>Abierta con control</vt:lpstr>
      <vt:lpstr>Abierta sin control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TopoField</dc:creator>
  <dc:title/>
  <dc:subject/>
  <dc:description/>
  <cp:keywords/>
  <cp:category/>
  <cp:lastModifiedBy>TopoField</cp:lastModifiedBy>
  <dcterms:created xsi:type="dcterms:W3CDTF">2026-05-26T22:59:21Z</dcterms:created>
  <dcterms:modified xsi:type="dcterms:W3CDTF">2026-05-26T22:59:21Z</dcterms:modified>
</cp:coreProperties>
</file>